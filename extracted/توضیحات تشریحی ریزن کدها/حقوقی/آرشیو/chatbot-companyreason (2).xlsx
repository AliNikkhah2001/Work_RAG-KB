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حمدی\آقای علی اکبری\"/>
    </mc:Choice>
  </mc:AlternateContent>
  <xr:revisionPtr revIDLastSave="0" documentId="14_{318DE3D9-CB88-4F3D-8FF0-B20BD227DDA5}" xr6:coauthVersionLast="47" xr6:coauthVersionMax="47" xr10:uidLastSave="{00000000-0000-0000-0000-000000000000}"/>
  <bookViews>
    <workbookView xWindow="-120" yWindow="-120" windowWidth="29040" windowHeight="15720" xr2:uid="{294D297E-4458-40D7-8FB9-AFFDC9BD95FA}"/>
  </bookViews>
  <sheets>
    <sheet name="چت بات" sheetId="1" r:id="rId1"/>
  </sheets>
  <definedNames>
    <definedName name="_xlnm._FilterDatabase" localSheetId="0" hidden="1">'چت بات'!$A$1:$T$62</definedName>
  </definedName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62" i="1" l="1"/>
  <c r="AA62" i="1" s="1"/>
  <c r="U62" i="1"/>
  <c r="T62" i="1"/>
  <c r="S62" i="1"/>
  <c r="Z61" i="1"/>
  <c r="U61" i="1"/>
  <c r="T61" i="1"/>
  <c r="S61" i="1"/>
  <c r="Z60" i="1"/>
  <c r="U60" i="1"/>
  <c r="T60" i="1"/>
  <c r="S60" i="1"/>
  <c r="Z59" i="1"/>
  <c r="U59" i="1"/>
  <c r="T59" i="1"/>
  <c r="S59" i="1"/>
  <c r="Z58" i="1"/>
  <c r="U58" i="1"/>
  <c r="T58" i="1"/>
  <c r="S58" i="1"/>
  <c r="Z57" i="1"/>
  <c r="U57" i="1"/>
  <c r="T57" i="1"/>
  <c r="S57" i="1"/>
  <c r="Z56" i="1"/>
  <c r="AA56" i="1" s="1"/>
  <c r="U56" i="1"/>
  <c r="T56" i="1"/>
  <c r="S56" i="1"/>
  <c r="Z55" i="1"/>
  <c r="U55" i="1"/>
  <c r="T55" i="1"/>
  <c r="S55" i="1"/>
  <c r="Z54" i="1"/>
  <c r="U54" i="1"/>
  <c r="T54" i="1"/>
  <c r="S54" i="1"/>
  <c r="Z53" i="1"/>
  <c r="AA53" i="1" s="1"/>
  <c r="U53" i="1"/>
  <c r="T53" i="1"/>
  <c r="S53" i="1"/>
  <c r="Z52" i="1"/>
  <c r="AA52" i="1" s="1"/>
  <c r="U52" i="1"/>
  <c r="T52" i="1"/>
  <c r="S52" i="1"/>
  <c r="Z51" i="1"/>
  <c r="AA51" i="1" s="1"/>
  <c r="U51" i="1"/>
  <c r="T51" i="1"/>
  <c r="S51" i="1"/>
  <c r="Z50" i="1"/>
  <c r="AA50" i="1" s="1"/>
  <c r="U50" i="1"/>
  <c r="T50" i="1"/>
  <c r="S50" i="1"/>
  <c r="Z49" i="1"/>
  <c r="U49" i="1"/>
  <c r="T49" i="1"/>
  <c r="S49" i="1"/>
  <c r="Z48" i="1"/>
  <c r="U48" i="1"/>
  <c r="T48" i="1"/>
  <c r="S48" i="1"/>
  <c r="Z47" i="1"/>
  <c r="U47" i="1"/>
  <c r="T47" i="1"/>
  <c r="S47" i="1"/>
  <c r="Z46" i="1"/>
  <c r="U46" i="1"/>
  <c r="T46" i="1"/>
  <c r="S46" i="1"/>
  <c r="Z45" i="1"/>
  <c r="U45" i="1"/>
  <c r="T45" i="1"/>
  <c r="S45" i="1"/>
  <c r="Z44" i="1"/>
  <c r="AA44" i="1" s="1"/>
  <c r="U44" i="1"/>
  <c r="T44" i="1"/>
  <c r="S44" i="1"/>
  <c r="Z43" i="1"/>
  <c r="U43" i="1"/>
  <c r="T43" i="1"/>
  <c r="S43" i="1"/>
  <c r="Z42" i="1"/>
  <c r="AA42" i="1" s="1"/>
  <c r="U42" i="1"/>
  <c r="T42" i="1"/>
  <c r="S42" i="1"/>
  <c r="Z41" i="1"/>
  <c r="U41" i="1"/>
  <c r="T41" i="1"/>
  <c r="S41" i="1"/>
  <c r="Z40" i="1"/>
  <c r="U40" i="1"/>
  <c r="T40" i="1"/>
  <c r="S40" i="1"/>
  <c r="Z39" i="1"/>
  <c r="U39" i="1"/>
  <c r="T39" i="1"/>
  <c r="S39" i="1"/>
  <c r="Z38" i="1"/>
  <c r="U38" i="1"/>
  <c r="T38" i="1"/>
  <c r="S38" i="1"/>
  <c r="Z37" i="1"/>
  <c r="U37" i="1"/>
  <c r="T37" i="1"/>
  <c r="S37" i="1"/>
  <c r="Z36" i="1"/>
  <c r="AA36" i="1" s="1"/>
  <c r="U36" i="1"/>
  <c r="T36" i="1"/>
  <c r="S36" i="1"/>
  <c r="Z35" i="1"/>
  <c r="U35" i="1"/>
  <c r="T35" i="1"/>
  <c r="S35" i="1"/>
  <c r="Z34" i="1"/>
  <c r="U34" i="1"/>
  <c r="T34" i="1"/>
  <c r="S34" i="1"/>
  <c r="Z33" i="1"/>
  <c r="U33" i="1"/>
  <c r="T33" i="1"/>
  <c r="S33" i="1"/>
  <c r="Z32" i="1"/>
  <c r="U32" i="1"/>
  <c r="T32" i="1"/>
  <c r="S32" i="1"/>
  <c r="Z31" i="1"/>
  <c r="U31" i="1"/>
  <c r="T31" i="1"/>
  <c r="S31" i="1"/>
  <c r="Z30" i="1"/>
  <c r="AA30" i="1" s="1"/>
  <c r="U30" i="1"/>
  <c r="T30" i="1"/>
  <c r="S30" i="1"/>
  <c r="Z29" i="1"/>
  <c r="AA29" i="1" s="1"/>
  <c r="U29" i="1"/>
  <c r="T29" i="1"/>
  <c r="S29" i="1"/>
  <c r="Z28" i="1"/>
  <c r="AA28" i="1" s="1"/>
  <c r="U28" i="1"/>
  <c r="T28" i="1"/>
  <c r="S28" i="1"/>
  <c r="Z27" i="1"/>
  <c r="U27" i="1"/>
  <c r="T27" i="1"/>
  <c r="S27" i="1"/>
  <c r="Z26" i="1"/>
  <c r="U26" i="1"/>
  <c r="T26" i="1"/>
  <c r="S26" i="1"/>
  <c r="Z25" i="1"/>
  <c r="AA25" i="1" s="1"/>
  <c r="U25" i="1"/>
  <c r="T25" i="1"/>
  <c r="S25" i="1"/>
  <c r="Z24" i="1"/>
  <c r="U24" i="1"/>
  <c r="T24" i="1"/>
  <c r="S24" i="1"/>
  <c r="Z23" i="1"/>
  <c r="U23" i="1"/>
  <c r="T23" i="1"/>
  <c r="S23" i="1"/>
  <c r="Z22" i="1"/>
  <c r="U22" i="1"/>
  <c r="T22" i="1"/>
  <c r="S22" i="1"/>
  <c r="Z21" i="1"/>
  <c r="AA21" i="1" s="1"/>
  <c r="U21" i="1"/>
  <c r="T21" i="1"/>
  <c r="S21" i="1"/>
  <c r="Z20" i="1"/>
  <c r="AA20" i="1" s="1"/>
  <c r="U20" i="1"/>
  <c r="T20" i="1"/>
  <c r="S20" i="1"/>
  <c r="Z19" i="1"/>
  <c r="AA19" i="1" s="1"/>
  <c r="U19" i="1"/>
  <c r="T19" i="1"/>
  <c r="S19" i="1"/>
  <c r="Z18" i="1"/>
  <c r="AA18" i="1" s="1"/>
  <c r="U18" i="1"/>
  <c r="T18" i="1"/>
  <c r="S18" i="1"/>
  <c r="Z17" i="1"/>
  <c r="AA17" i="1" s="1"/>
  <c r="U17" i="1"/>
  <c r="T17" i="1"/>
  <c r="S17" i="1"/>
  <c r="Z16" i="1"/>
  <c r="AA16" i="1" s="1"/>
  <c r="U16" i="1"/>
  <c r="T16" i="1"/>
  <c r="S16" i="1"/>
  <c r="Z15" i="1"/>
  <c r="U15" i="1"/>
  <c r="T15" i="1"/>
  <c r="S15" i="1"/>
  <c r="Z14" i="1"/>
  <c r="AA14" i="1" s="1"/>
  <c r="U14" i="1"/>
  <c r="T14" i="1"/>
  <c r="S14" i="1"/>
  <c r="Z13" i="1"/>
  <c r="AA13" i="1" s="1"/>
  <c r="U13" i="1"/>
  <c r="T13" i="1"/>
  <c r="S13" i="1"/>
  <c r="Z12" i="1"/>
  <c r="U12" i="1"/>
  <c r="T12" i="1"/>
  <c r="S12" i="1"/>
  <c r="Z11" i="1"/>
  <c r="AA11" i="1" s="1"/>
  <c r="U11" i="1"/>
  <c r="T11" i="1"/>
  <c r="S11" i="1"/>
  <c r="Z10" i="1"/>
  <c r="U10" i="1"/>
  <c r="T10" i="1"/>
  <c r="S10" i="1"/>
  <c r="Z9" i="1"/>
  <c r="AA9" i="1" s="1"/>
  <c r="U9" i="1"/>
  <c r="T9" i="1"/>
  <c r="S9" i="1"/>
  <c r="Z8" i="1"/>
  <c r="AA8" i="1" s="1"/>
  <c r="U8" i="1"/>
  <c r="T8" i="1"/>
  <c r="S8" i="1"/>
  <c r="Z7" i="1"/>
  <c r="U7" i="1"/>
  <c r="T7" i="1"/>
  <c r="S7" i="1"/>
  <c r="Z6" i="1"/>
  <c r="U6" i="1"/>
  <c r="T6" i="1"/>
  <c r="S6" i="1"/>
  <c r="Z5" i="1"/>
  <c r="U5" i="1"/>
  <c r="T5" i="1"/>
  <c r="S5" i="1"/>
  <c r="Z4" i="1"/>
  <c r="U4" i="1"/>
  <c r="T4" i="1"/>
  <c r="S4" i="1"/>
  <c r="Z3" i="1"/>
  <c r="U3" i="1"/>
  <c r="T3" i="1"/>
  <c r="S3" i="1"/>
  <c r="Z2" i="1"/>
  <c r="AA2" i="1" s="1"/>
  <c r="U2" i="1"/>
  <c r="T2" i="1"/>
  <c r="S2" i="1"/>
  <c r="Y16" i="1" l="1"/>
  <c r="Y28" i="1"/>
  <c r="Y19" i="1"/>
  <c r="Y31" i="1"/>
  <c r="AA22" i="1"/>
  <c r="AA37" i="1"/>
  <c r="Y46" i="1"/>
  <c r="Y58" i="1"/>
  <c r="Y38" i="1"/>
  <c r="Y41" i="1"/>
  <c r="Y44" i="1"/>
  <c r="Y9" i="1"/>
  <c r="AA32" i="1"/>
  <c r="AA38" i="1"/>
  <c r="Y53" i="1"/>
  <c r="AA6" i="1"/>
  <c r="AA47" i="1"/>
  <c r="AA59" i="1"/>
  <c r="Y18" i="1"/>
  <c r="Y21" i="1"/>
  <c r="Y30" i="1"/>
  <c r="Y33" i="1"/>
  <c r="Y34" i="1"/>
  <c r="AA49" i="1"/>
  <c r="Y4" i="1"/>
  <c r="AA39" i="1"/>
  <c r="Y48" i="1"/>
  <c r="Y51" i="1"/>
  <c r="AA34" i="1"/>
  <c r="AA55" i="1"/>
  <c r="Y14" i="1"/>
  <c r="Y7" i="1"/>
  <c r="AA15" i="1"/>
  <c r="AA33" i="1"/>
  <c r="Y45" i="1"/>
  <c r="AA4" i="1"/>
  <c r="AA45" i="1"/>
  <c r="AA54" i="1"/>
  <c r="Y60" i="1"/>
  <c r="AA43" i="1"/>
  <c r="AA5" i="1"/>
  <c r="AA10" i="1"/>
  <c r="Y13" i="1"/>
  <c r="AA57" i="1"/>
  <c r="Y2" i="1"/>
  <c r="AA40" i="1"/>
  <c r="Y17" i="1"/>
  <c r="Y32" i="1"/>
  <c r="AA31" i="1"/>
  <c r="Y11" i="1"/>
  <c r="Y25" i="1"/>
  <c r="AA23" i="1"/>
  <c r="AA35" i="1"/>
  <c r="Y47" i="1"/>
  <c r="AA27" i="1"/>
  <c r="Y3" i="1"/>
  <c r="AA7" i="1"/>
  <c r="AA24" i="1"/>
  <c r="AA12" i="1"/>
  <c r="AA26" i="1"/>
  <c r="Y37" i="1"/>
  <c r="Y39" i="1"/>
  <c r="AA41" i="1"/>
  <c r="Y52" i="1"/>
  <c r="Y54" i="1"/>
  <c r="AA58" i="1"/>
  <c r="AA60" i="1"/>
  <c r="Y8" i="1"/>
  <c r="AA46" i="1"/>
  <c r="AA48" i="1"/>
  <c r="Y57" i="1"/>
  <c r="Y59" i="1"/>
  <c r="Y22" i="1"/>
  <c r="AA61" i="1"/>
  <c r="AA3" i="1"/>
</calcChain>
</file>

<file path=xl/sharedStrings.xml><?xml version="1.0" encoding="utf-8"?>
<sst xmlns="http://schemas.openxmlformats.org/spreadsheetml/2006/main" count="251" uniqueCount="174">
  <si>
    <t>#</t>
  </si>
  <si>
    <t>feature_name</t>
  </si>
  <si>
    <t>bin</t>
  </si>
  <si>
    <t>coef_</t>
  </si>
  <si>
    <t>WoE</t>
  </si>
  <si>
    <t>score</t>
  </si>
  <si>
    <t>n_obs</t>
  </si>
  <si>
    <t>prop_good</t>
  </si>
  <si>
    <t>prop_n_obs</t>
  </si>
  <si>
    <t>n_good</t>
  </si>
  <si>
    <t>n_bad</t>
  </si>
  <si>
    <t>prop_n_good</t>
  </si>
  <si>
    <t>prop_n_bad</t>
  </si>
  <si>
    <t>diff_prop_good</t>
  </si>
  <si>
    <t>diff_WoE</t>
  </si>
  <si>
    <t>IV</t>
  </si>
  <si>
    <t>sum_IV</t>
  </si>
  <si>
    <t>Gini</t>
  </si>
  <si>
    <t>score * prop_n_obs</t>
  </si>
  <si>
    <t>Creditinfo</t>
  </si>
  <si>
    <t>FICO</t>
  </si>
  <si>
    <t>Reason_Statement</t>
  </si>
  <si>
    <t>Reason_Code</t>
  </si>
  <si>
    <t>Importance</t>
  </si>
  <si>
    <t>Importance-FICO</t>
  </si>
  <si>
    <t>increase</t>
  </si>
  <si>
    <t>Importance-increase</t>
  </si>
  <si>
    <t>NLoanClosedL6M</t>
  </si>
  <si>
    <t>[-inf, 1.0)</t>
  </si>
  <si>
    <t>شرکت فاقد وام خاتمه یافته در 6 ماه اخیر بوده است.</t>
  </si>
  <si>
    <t>NMXMA1</t>
  </si>
  <si>
    <t>[1.0, 3.0)</t>
  </si>
  <si>
    <t>[3.0, 7.0)</t>
  </si>
  <si>
    <t>[7.0, inf)</t>
  </si>
  <si>
    <t>LWorstNegStatusL36MAllCon</t>
  </si>
  <si>
    <t>[-inf, 5.0)</t>
  </si>
  <si>
    <t>[5.0, 10.0)</t>
  </si>
  <si>
    <t>شرکت در 3 سال اخیر حداقل یک قرارداد داشته که به وضعیت «سررسید گذشته» رسیده است (عدم بازپرداخت تا 60 روز).</t>
  </si>
  <si>
    <t>NMXKC3</t>
  </si>
  <si>
    <t>[10.0, 11.0)</t>
  </si>
  <si>
    <t>شرکت در 3 سال اخیر حداقل یک قرارداد داشته که به وضعیت «معوق» رسیده است (عدم بازپرداخت تا 180 روز).</t>
  </si>
  <si>
    <t>NMXKC2</t>
  </si>
  <si>
    <t>[11.0, inf)</t>
  </si>
  <si>
    <t>شرکت در 3 سال گذشته حداقل یک قرارداد داشته که به وضعیت «مشکوک‌الوصول» تغییر وضعیت داده است (عدم بازپرداخت تا540 روز).</t>
  </si>
  <si>
    <t>NMXKC1</t>
  </si>
  <si>
    <t>MinCurDueToTLAL3MAllCon</t>
  </si>
  <si>
    <t>[-inf, 4.0)</t>
  </si>
  <si>
    <t>[4.0, inf)</t>
  </si>
  <si>
    <t xml:space="preserve"> بر اساس آخرین اطلاعات، میزان بدهی‌های سررسیدشده شرکت نسبت به کل مبلغ قراردادها، قابل توجه بوده است.</t>
  </si>
  <si>
    <t>NMXKD1</t>
  </si>
  <si>
    <t>MaxDueToTLAL12MAllCon</t>
  </si>
  <si>
    <t>[5.0, 30.0)</t>
  </si>
  <si>
    <t>در یک سال گذشته، درصد قابل توجهی از قراردادهای شرکت، دارای بدهی سررسید شده‌ است.</t>
  </si>
  <si>
    <t>NMXKB2</t>
  </si>
  <si>
    <t>[30.0, inf)</t>
  </si>
  <si>
    <t>در یک سال گذشته، درصد زیادی از قراردادهای شرکت، دارای بدهی سررسید شده‌ است.</t>
  </si>
  <si>
    <t>NMXKB1</t>
  </si>
  <si>
    <t>MaxDueToTLAL3MGuaAllCon</t>
  </si>
  <si>
    <t>[-inf, 2.0)</t>
  </si>
  <si>
    <t>[2.0, 5.0)</t>
  </si>
  <si>
    <t>نسبت بدهی سررسید شده به کل مبلغ قراردادهایی که در 3 ماه گذشته شرکت ضامن آن‌ها شده، قابل توجه بوده است.</t>
  </si>
  <si>
    <t>NMGKA4</t>
  </si>
  <si>
    <t>نسبت بدهی سررسید شده به کل مبلغ قراردادهایی که در 3 ماه گذشته شرکت ضامن آن‌ها شده، نسبتا زیاد بوده است.</t>
  </si>
  <si>
    <t>NMGKA3</t>
  </si>
  <si>
    <t>[30.0, 100.0)</t>
  </si>
  <si>
    <t>نسبت بدهی سررسید شده به کل مبلغ قراردادهایی که در 3 ماه گذشته شرکت ضامن آن‌ها شده، زیاد بوده است.</t>
  </si>
  <si>
    <t>NMGKA2</t>
  </si>
  <si>
    <t>[100.0, inf)</t>
  </si>
  <si>
    <t>نسبت بدهی سررسید شده به کل مبلغ قراردادهایی که در 3 ماه گذشته شرکت ضامن آن‌ها شده، بسیار زیاد بوده است.</t>
  </si>
  <si>
    <t>NMGKA1</t>
  </si>
  <si>
    <t>Missing</t>
  </si>
  <si>
    <t>DSinceADueActH1000MilGuaAllCon</t>
  </si>
  <si>
    <t>[-inf, 30.0)</t>
  </si>
  <si>
    <t>شرکت ضامن قراردادهایی شده که در یک ماه گذشته، دارای بدهی سررسید شده‌ بوده است.</t>
  </si>
  <si>
    <t>NMGTB1</t>
  </si>
  <si>
    <t>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برای اعتباردهندگان، این موضوع یک نشانه‌ی فوری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</si>
  <si>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[30.0, 60.0)</t>
  </si>
  <si>
    <t>شرکت ضامن قراردادهایی شده که در 2 ماه گذشته، دارای بدهی سررسید شده‌ بوده است.</t>
  </si>
  <si>
    <t>NMGTB2</t>
  </si>
  <si>
    <t>[60.0, inf)</t>
  </si>
  <si>
    <t>last3Year_sum_tedad_kharid_melk</t>
  </si>
  <si>
    <t>نمایش داده نشود</t>
  </si>
  <si>
    <t>NMTBB1</t>
  </si>
  <si>
    <t>Row Labels</t>
  </si>
  <si>
    <t>Max of score</t>
  </si>
  <si>
    <t>Sum of score * prop_n_obs</t>
  </si>
  <si>
    <t>[1.0, inf)</t>
  </si>
  <si>
    <t>cashed_cheques_num_cheq_12M</t>
  </si>
  <si>
    <t>تعداد چکهای نقدشده در 12 ماه اخیر</t>
  </si>
  <si>
    <t>sum_days_between_clear_bounce_12M</t>
  </si>
  <si>
    <t>تعداد روزهای گذشته از اخرین بدهی سررسیدشده پرداخت نشده  با مبلغ بیش از یک میلیون ریال در میان تمام قراردادها (تسهیلات و تعهدات) در نقش ضامن</t>
  </si>
  <si>
    <t>شرکت در‌ یک سال گذشته، در رفع سوءاثر چک‌های برگشتی تاخیر زیادی داشته است.</t>
  </si>
  <si>
    <t>NMCBA1</t>
  </si>
  <si>
    <t>last2Year_sum_ratio_karfarma_tededKarkonan</t>
  </si>
  <si>
    <t>جمع مالیات پرداختی حقوق به ازای هر کارمند در دو سال گذشته</t>
  </si>
  <si>
    <t>جمع تعداد خرید ملک در سه سال گذشته</t>
  </si>
  <si>
    <t>[-inf, 500000.0)</t>
  </si>
  <si>
    <t>بر اساس مبالغ پرداختی حقوق و دستمزد شرکت به سازمان امور مالیاتی در 2 سال گذشته، حقوق پرداختی شرکت به کارمندان به طور میانگین کم ارزیابی شده است.</t>
  </si>
  <si>
    <t>NMTRA1</t>
  </si>
  <si>
    <t xml:space="preserve"> بدترین وضعیت منفی در همه قراردادها در 36 ماه گذشته در نقش متقاضی اصلی</t>
  </si>
  <si>
    <t>[500000.0, 3000000.0)</t>
  </si>
  <si>
    <t>maliat_pardakhti_arzesh_afzode_Count</t>
  </si>
  <si>
    <t>تعداد سالهای دارای سابقه پرداخت مالیات بر ارزش افزوده در 6 سال اخیر</t>
  </si>
  <si>
    <t>[3000000.0, 8500000.0)</t>
  </si>
  <si>
    <t>بیشترین میزان نسبت بدهی سررسید شده شخص به مبلغ تسهیلات مربوطه در تمام قراردادها (تسهیلات و تعهدات) در 12 ماه اخیر</t>
  </si>
  <si>
    <t>[8500000.0, 31000000.0)</t>
  </si>
  <si>
    <t>بیشترین میزان نسبت بدهی سررسید شده شخص به مبلغ تسهیلات مربوطه در تمام قراردادها (تسهیلات و تعهدات) در 3 ماه اخیر برای نقش ضامن</t>
  </si>
  <si>
    <t>[31000000.0, 68000000.0)</t>
  </si>
  <si>
    <t>کمترین میزان نسبت بدهی سررسید شده فعلی شخص به مبلغ تسهیلات مربوطه در تمام قراردادها (تسهیلات و تعهدات)</t>
  </si>
  <si>
    <t>[68000000.0, inf)</t>
  </si>
  <si>
    <t>motevaset_tedad_karkonan_ratio_1year</t>
  </si>
  <si>
    <t>متوسط تعداد کارکنانِ کارفرما در یک سال اخیر نسبت به  سال قبل از آن</t>
  </si>
  <si>
    <t>شرکت در 2 سال گذشته، هیچگونه پرداختی تحت عنوان مالیات حقوق و دستمزد کارمندان به سازمان امور مالیاتی نداشته است.</t>
  </si>
  <si>
    <t>NMTRA2</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</si>
  <si>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</si>
  <si>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تعداد تسهیلات خاتمه‌یافته در 6 ماه اخیر</t>
  </si>
  <si>
    <t>[-inf, 0.604)</t>
  </si>
  <si>
    <t>NMonthWithNoDelinq1ContrL12MGuaAllCon</t>
  </si>
  <si>
    <t xml:space="preserve">تعداد ماه های بدون تاخیر در حداقل یک قرارداد در 12 ماه گذشته در نقش ضامن </t>
  </si>
  <si>
    <t>[0.604, 0.882)</t>
  </si>
  <si>
    <t>جمع تعداد روزهای بین برگشت و رفع سوءاثر چکهای شخص در 12 ماه اخیر</t>
  </si>
  <si>
    <t>[0.882, 1.0)</t>
  </si>
  <si>
    <t>Grand Total</t>
  </si>
  <si>
    <t>[1.0, 1.444)</t>
  </si>
  <si>
    <t>[1.444, inf)</t>
  </si>
  <si>
    <t>شرکت در حداقل یکی از 2 سال اخیر تعداد کارمندان خود را به سازمان امور مالیاتی اعلام نکرده است.</t>
  </si>
  <si>
    <t>NMTRC1</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</si>
  <si>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 اعتباردهندگان معمولاً شرکت‌هایی را که اطلاعات منابع انسانی آن‌ها ناقص یا غیرفعال است، پرریسک‌تر ارزیابی می‌کنند، زیرا یا فعالیت آن‌ها محدود است یا شفافیت مالی لازم وجود ندارد. این موضوع به کاهش امتیاز اعتباری منجر می‌شود. 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</si>
  <si>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missing_binahayat</t>
  </si>
  <si>
    <t>شرکت در 6 سال گذشته هیچ مالیات بر ارزش افزوده‌ای به سازمان امور مالیاتی پرداخت نکرده است.</t>
  </si>
  <si>
    <t>NMTMD1</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</si>
  <si>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 هر دو حالت باعث کاهش امتیاز اعتباری می‌شود، چرا که فقدان سابقه پرداخت مالیات بر ارزش افزوده می‌تواند به معنای عدم شفافیت یا کم‌فعالیتی شرکت باشد. 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</si>
  <si>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[1.0, 2.0)</t>
  </si>
  <si>
    <t>[2.0, 3.0)</t>
  </si>
  <si>
    <t>[3.0, 4.0)</t>
  </si>
  <si>
    <t>[4.0, 5.0)</t>
  </si>
  <si>
    <t>[5.0, inf)</t>
  </si>
  <si>
    <t>شرکت در 6 سال گذشته هیچ پرونده مالیاتی ثبت‌شده‌ای به سازمان امور مالیاتی نداشته است.</t>
  </si>
  <si>
    <t>NMTMD2</t>
  </si>
  <si>
    <t>NMGTC1</t>
  </si>
  <si>
    <t>NMGTC2</t>
  </si>
  <si>
    <t>[3.0, 6.0)</t>
  </si>
  <si>
    <t>NMGTC3</t>
  </si>
  <si>
    <t>[6.0, 9.0)</t>
  </si>
  <si>
    <t>[9.0, inf)</t>
  </si>
  <si>
    <t>[5.0, 20.0)</t>
  </si>
  <si>
    <t>[20.0, 30.0)</t>
  </si>
  <si>
    <t>[30.0, 80.0)</t>
  </si>
  <si>
    <t>[80.0, inf)</t>
  </si>
  <si>
    <t>NMCMB1</t>
  </si>
  <si>
    <t>چت بات1</t>
  </si>
  <si>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B Nazanin"/>
        <charset val="178"/>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B Nazanin"/>
        <charset val="178"/>
      </rPr>
      <t>، اثر مثبت قابل توجهی بر امتیاز خواهد داشت.</t>
    </r>
  </si>
  <si>
    <t>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</si>
  <si>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وام‌های ضمانت شده توسط شرکت، در ماه‌های بسیارکمی از یک سال گذشته، بازپرداخت به موقع داشته است.</t>
  </si>
  <si>
    <t>وام‌های ضمانت شده توسط شرکت، در ماه‌ها 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</si>
  <si>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</si>
  <si>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</si>
  <si>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بررسی‌ها نشان می‌دهد که در سه سال گذشته حداقل یکی از قراردادهای شرکت شما به وضعیت «معوق» رسیده است، یعنی بدهی یا قسط مربوطه تا 6 ماه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</si>
  <si>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 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</si>
  <si>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در سه سال اخیر، شرکت شما حداقل یک قرارداد داشته که به وضعیت «سررسید گذشته» رسیده است؛ یعنی قسط یا بدهی مربوطه تا حداکثر 2 ماه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</si>
  <si>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 xml:space="preserve">شرکت شما در شش ماه گذشته هیچ وامی را تسویه نکرده است. نداشتن سابقه‌ی بستن یا پایان موفق یک وام در بازه‌ی زمانی اخیر باعث می‌شود مدل‌های اعتبارسنجی نتوانند اطمینان کافی نسبت به توانایی شما در بازپرداخت تعهدات فعلی یا آینده پیدا کنند. در واقع، هرچه تعداد وام‌های تسویه‌شده در ماه‌های اخیر بیشتر باشد، نشان‌دهنده‌ی توان شما در ایفای تعهدات است. 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</si>
  <si>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 اساس آخرین اطلاعات، نسبت بدهی‌های سررسیدشده شرکت به کل مبلغ قراردادها در سه ماه گذشته قابل توجه بوده است. این موضوع نشانه‌ای از ضعف نقدینگی یا مدیریت تعهدات مالی است و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</si>
  <si>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چنین وضعیتی ریسک اعتباری شما را بالا می‌برد، زیرا اعتباردهندگان ضامن را هم به‌عنوان مسئول بازپرداخت احتمالی می‌شناسند.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</si>
  <si>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در سه ماه گذشته، بخش مهمی از قراردادهای تحت ضمانت شرکت شما با مشکل در بازپرداخت مواجه شده‌اند. چنین سابقه‌ای برای اعتباردهندگان هشدار جدی است، زیرا ضامن به‌طور بالقوه مسئول پرداخت بدهی‌ها خواهد بود. این وضعیت اثر منفی قوی بر امتیاز اعتباری می‌گذارد و می‌تواند دسترسی شما به اعتبار جدید را محدود کند.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</si>
  <si>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r>
      <t>در سه ماه گذشته، این وضعیت یک علامت خطر جدی برای اعتباردهندگان محس</t>
    </r>
    <r>
      <rPr>
        <sz val="11"/>
        <rFont val="B Nazanin"/>
        <charset val="178"/>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B Nazanin"/>
        <charset val="178"/>
      </rPr>
      <t xml:space="preserve">. برای بهبود وضعیت، لازم است بدهی‌های مربوط به این قراردادها فوراً تعیین تکلیف شوند. پرداخت یا توافق برای بازپرداخت بدهی‌های معوق ضروری است. </t>
    </r>
  </si>
  <si>
    <t>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</si>
  <si>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</si>
  <si>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هرچه مدت زمان بیشتری طول بکشد تا چک‌های برگشتی رفع سوءاثر شوند، ریسک اعتباری بالاتر ارزیابی می‌گردد. این وضعیت باعث افت امتیاز اعتباری شما خواهد شد. برای بهبود شرایط، ضروری است در میان‌مدت، کنترل حساب‌های بانکی و اجتناب از صدور چک بدون پشتوانه اهمیت دارد. در بلندمدت نیز داشتن سابقه‌ی بدون چک برگشتی و رفع سریع در صورت بروز، اعتماد اعتباردهندگان را بازمی‌گرداند.</t>
  </si>
  <si>
    <r>
      <rPr>
        <sz val="11"/>
        <rFont val="B Nazanin"/>
        <charset val="178"/>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B Nazanin"/>
        <charset val="178"/>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</si>
  <si>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t>در شش سال گذشته، هیچ پرونده مالیاتی ثبت‌شده‌ای به نام شرکت شما در سازمان امور مالیاتی وجود ندارد. این موضوع یک هشدار جدی برای اعتباردهندگان است، زیرا نبود پرونده مالیاتی می‌تواند نشان‌دهنده‌ی فعالیت غیررسمی، غیرفعال بودن شرکت یا عدم شفافیت در گزارشگری مالی باشد. چنین سابقه‌ای اثر منفی بر امتیاز اعتباری دارد و به‌طور مستقیم باعث کاهش اعتماد در اعطای تسهیلات می‌شود. 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</si>
  <si>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r>
      <t xml:space="preserve">شرکت شما در دوازده ماه گذشته هیچ‌گونه پرداختی از طریق چک </t>
    </r>
    <r>
      <rPr>
        <sz val="11"/>
        <rFont val="B Nazanin"/>
        <charset val="178"/>
      </rPr>
      <t>صیادی</t>
    </r>
    <r>
      <rPr>
        <sz val="11"/>
        <color theme="1"/>
        <rFont val="B Nazanin"/>
        <charset val="178"/>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</si>
  <si>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امتیاز اعتباری می‌شود.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</si>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</sst>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name val="Calibri"/>
      <family val="2"/>
    </font>
    <font>
      <sz val="11"/>
      <name val="Aptos Narrow"/>
      <family val="2"/>
      <scheme val="minor"/>
    </font>
    <font>
      <sz val="8"/>
      <name val="Aptos Narrow"/>
      <family val="2"/>
      <scheme val="minor"/>
    </font>
    <font>
      <sz val="11"/>
      <color theme="1"/>
      <name val="B Nazanin"/>
      <charset val="178"/>
    </font>
    <font>
      <sz val="11"/>
      <name val="B Nazanin"/>
      <charset val="178"/>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0" fontId="3" fillId="0" borderId="1" xfId="0" applyFont="1" applyBorder="1"/>
    <xf numFmtId="0" fontId="3" fillId="0" borderId="2" xfId="0" applyFont="1" applyBorder="1"/>
    <xf numFmtId="0" fontId="3" fillId="0" borderId="1" xfId="0" applyFont="1" applyBorder="1" applyAlignment="1">
      <alignment wrapText="1"/>
    </xf>
    <xf numFmtId="0" fontId="3" fillId="0" borderId="3" xfId="0" applyFont="1" applyBorder="1" applyAlignment="1">
      <alignment horizontal="center" vertical="center"/>
    </xf>
    <xf numFmtId="0" fontId="3"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vertical="center" wrapText="1"/>
    </xf>
    <xf numFmtId="0" fontId="3" fillId="0" borderId="0" xfId="0" applyFont="1"/>
    <xf numFmtId="0" fontId="0" fillId="0" borderId="6" xfId="0" applyBorder="1" applyAlignment="1">
      <alignment horizontal="center" vertical="center"/>
    </xf>
    <xf numFmtId="0" fontId="0" fillId="0" borderId="7" xfId="0" applyBorder="1" applyAlignment="1">
      <alignment horizontal="center" vertical="center"/>
    </xf>
    <xf numFmtId="10" fontId="0" fillId="0" borderId="7" xfId="1" applyNumberFormat="1" applyFont="1" applyBorder="1" applyAlignment="1">
      <alignment horizontal="center" vertical="center"/>
    </xf>
    <xf numFmtId="164" fontId="0" fillId="0" borderId="7" xfId="0" applyNumberFormat="1" applyBorder="1" applyAlignment="1">
      <alignment horizontal="center" vertical="center"/>
    </xf>
    <xf numFmtId="0" fontId="0" fillId="0" borderId="7" xfId="0" applyBorder="1"/>
    <xf numFmtId="0" fontId="0" fillId="0" borderId="6" xfId="0" applyBorder="1"/>
    <xf numFmtId="0" fontId="0" fillId="0" borderId="8"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10" fontId="0" fillId="0" borderId="0" xfId="1" applyNumberFormat="1" applyFont="1" applyBorder="1" applyAlignment="1">
      <alignment horizontal="center" vertical="center"/>
    </xf>
    <xf numFmtId="164" fontId="0" fillId="0" borderId="0" xfId="0" applyNumberFormat="1" applyAlignment="1">
      <alignment horizontal="center" vertical="center"/>
    </xf>
    <xf numFmtId="0" fontId="0" fillId="0" borderId="9" xfId="0" applyBorder="1" applyAlignment="1">
      <alignment horizontal="center" vertical="center"/>
    </xf>
    <xf numFmtId="0" fontId="0" fillId="0" borderId="3" xfId="0" applyBorder="1"/>
    <xf numFmtId="0" fontId="0" fillId="2" borderId="3"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10" fontId="0" fillId="0" borderId="11" xfId="1" applyNumberFormat="1" applyFont="1" applyBorder="1" applyAlignment="1">
      <alignment horizontal="center" vertical="center"/>
    </xf>
    <xf numFmtId="164" fontId="0" fillId="0" borderId="11" xfId="0" applyNumberFormat="1" applyBorder="1" applyAlignment="1">
      <alignment horizontal="center" vertical="center"/>
    </xf>
    <xf numFmtId="0" fontId="0" fillId="0" borderId="11" xfId="0" applyBorder="1"/>
    <xf numFmtId="0" fontId="0" fillId="0" borderId="12" xfId="0"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0" borderId="10" xfId="0" applyBorder="1"/>
    <xf numFmtId="0" fontId="0" fillId="0" borderId="10" xfId="0" applyBorder="1" applyAlignment="1">
      <alignment wrapText="1"/>
    </xf>
    <xf numFmtId="0" fontId="4" fillId="0" borderId="6" xfId="0" applyFont="1" applyBorder="1"/>
    <xf numFmtId="0" fontId="0" fillId="2" borderId="7" xfId="0" applyFill="1" applyBorder="1" applyAlignment="1">
      <alignment horizontal="center" vertical="center"/>
    </xf>
    <xf numFmtId="0" fontId="0" fillId="0" borderId="0" xfId="0" applyAlignment="1">
      <alignment horizontal="left"/>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3" xfId="0" applyFont="1" applyBorder="1" applyAlignment="1">
      <alignment horizontal="center" vertical="center"/>
    </xf>
    <xf numFmtId="10" fontId="0" fillId="0" borderId="0" xfId="1" applyNumberFormat="1" applyFont="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0"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1063\Downloads\Scorecard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emeh Mohammadi" refreshedDate="45768.387526388891" createdVersion="8" refreshedVersion="8" minRefreshableVersion="3" recordCount="61" xr:uid="{F3B286B4-A59B-4E6B-9F45-F6B3B6B329A3}">
  <cacheSource type="worksheet">
    <worksheetSource ref="A1:S62" sheet="scorecard (no_intercept)" r:id="rId2"/>
  </cacheSource>
  <cacheFields count="19">
    <cacheField name="#" numFmtId="0">
      <sharedItems containsSemiMixedTypes="0" containsString="0" containsNumber="1" containsInteger="1" minValue="1" maxValue="7"/>
    </cacheField>
    <cacheField name="feature_name" numFmtId="0">
      <sharedItems count="13">
        <s v="NLoanClosedL6M"/>
        <s v="LWorstNegStatusL36MAllCon"/>
        <s v="MinCurDueToTLAL3MAllCon"/>
        <s v="MaxDueToTLAL12MAllCon"/>
        <s v="MaxDueToTLAL3MGuaAllCon"/>
        <s v="DSinceADueActH1000MilGuaAllCon"/>
        <s v="last3Year_sum_tedad_kharid_melk"/>
        <s v="sum_days_between_clear_bounce_12M"/>
        <s v="last2Year_sum_ratio_karfarma_tededKarkonan"/>
        <s v="motevaset_tedad_karkonan_ratio_1year"/>
        <s v="maliat_pardakhti_arzesh_afzode_Count"/>
        <s v="NMonthWithNoDelinq1ContrL12MGuaAllCon"/>
        <s v="cashed_cheques_num_cheq_12M"/>
      </sharedItems>
    </cacheField>
    <cacheField name="bin" numFmtId="0">
      <sharedItems/>
    </cacheField>
    <cacheField name="coef_" numFmtId="0">
      <sharedItems containsSemiMixedTypes="0" containsString="0" containsNumber="1" minValue="-0.67700000000000005" maxValue="-1.7000000000000001E-2"/>
    </cacheField>
    <cacheField name="WoE" numFmtId="0">
      <sharedItems containsSemiMixedTypes="0" containsString="0" containsNumber="1" minValue="-3.09" maxValue="1.61"/>
    </cacheField>
    <cacheField name="score" numFmtId="0">
      <sharedItems containsSemiMixedTypes="0" containsString="0" containsNumber="1" minValue="-55.723999999999997" maxValue="30.538"/>
    </cacheField>
    <cacheField name="n_obs" numFmtId="0">
      <sharedItems containsSemiMixedTypes="0" containsString="0" containsNumber="1" containsInteger="1" minValue="533" maxValue="28246"/>
    </cacheField>
    <cacheField name="prop_good" numFmtId="10">
      <sharedItems containsSemiMixedTypes="0" containsString="0" containsNumber="1" minValue="3.71001094757328E-2" maxValue="0.80902845927379696"/>
    </cacheField>
    <cacheField name="prop_n_obs" numFmtId="10">
      <sharedItems containsSemiMixedTypes="0" containsString="0" containsNumber="1" minValue="1.7633825183616701E-2" maxValue="0.93449348243234298"/>
    </cacheField>
    <cacheField name="n_good" numFmtId="0">
      <sharedItems containsSemiMixedTypes="0" containsString="0" containsNumber="1" minValue="239" maxValue="13555"/>
    </cacheField>
    <cacheField name="n_bad" numFmtId="0">
      <sharedItems containsSemiMixedTypes="0" containsString="0" containsNumber="1" minValue="294" maxValue="15729"/>
    </cacheField>
    <cacheField name="prop_n_good" numFmtId="10">
      <sharedItems containsSemiMixedTypes="0" containsString="0" containsNumber="1" minValue="1.72438672438672E-2" maxValue="0.97799422799422797"/>
    </cacheField>
    <cacheField name="prop_n_bad" numFmtId="10">
      <sharedItems containsSemiMixedTypes="0" containsString="0" containsNumber="1" minValue="1.79640718562874E-2" maxValue="0.96107784431137699"/>
    </cacheField>
    <cacheField name="diff_prop_good" numFmtId="10">
      <sharedItems containsString="0" containsBlank="1" containsNumber="1" minValue="9.7720208331167902E-3" maxValue="0.57889625498688901"/>
    </cacheField>
    <cacheField name="diff_WoE" numFmtId="164">
      <sharedItems containsString="0" containsBlank="1" containsNumber="1" minValue="-3.7289185716965898" maxValue="1.5575229476016801"/>
    </cacheField>
    <cacheField name="IV" numFmtId="164">
      <sharedItems containsSemiMixedTypes="0" containsString="0" containsNumber="1" minValue="2.0195628403230999E-6" maxValue="1.4266512007865899"/>
    </cacheField>
    <cacheField name="sum_IV" numFmtId="164">
      <sharedItems containsSemiMixedTypes="0" containsString="0" containsNumber="1" minValue="1.55871538019333E-2" maxValue="1.7215668198092999"/>
    </cacheField>
    <cacheField name="Gini" numFmtId="164">
      <sharedItems containsSemiMixedTypes="0" containsString="0" containsNumber="1" minValue="4.8383663805880497" maxValue="62.801038086385702"/>
    </cacheField>
    <cacheField name="score * prop_n_obs" numFmtId="0">
      <sharedItems containsSemiMixedTypes="0" containsString="0" containsNumber="1" minValue="-15.156057831006414" maxValue="10.4859897770131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
    <x v="0"/>
    <s v="[-inf, 1.0)"/>
    <n v="-0.67700000000000005"/>
    <n v="-0.31900000000000001"/>
    <n v="-10.317"/>
    <n v="20464"/>
    <n v="0.38101055512118798"/>
    <n v="0.67703301793158199"/>
    <n v="7797"/>
    <n v="12667"/>
    <n v="0.56255411255411203"/>
    <n v="0.77398264695099595"/>
    <m/>
    <m/>
    <n v="6.7458837223060494E-2"/>
    <n v="0.21896281218254399"/>
    <n v="21.998314088317699"/>
    <n v="-6.9849496460001319"/>
  </r>
  <r>
    <n v="2"/>
    <x v="0"/>
    <s v="[1.0, 3.0)"/>
    <n v="-0.67700000000000005"/>
    <n v="0.54200000000000004"/>
    <n v="14.89"/>
    <n v="6181"/>
    <n v="0.59278433910370398"/>
    <n v="0.204492820750347"/>
    <n v="3664"/>
    <n v="2517"/>
    <n v="0.26435786435786401"/>
    <n v="0.15379445191250099"/>
    <n v="0.21177378398251601"/>
    <n v="0.86074887283273704"/>
    <n v="5.98907354461111E-2"/>
    <n v="0.21896281218254399"/>
    <n v="21.998314088317699"/>
    <n v="3.044898100972667"/>
  </r>
  <r>
    <n v="3"/>
    <x v="0"/>
    <s v="[3.0, 7.0)"/>
    <n v="-0.67700000000000005"/>
    <n v="0.73499999999999999"/>
    <n v="20.548999999999999"/>
    <n v="2069"/>
    <n v="0.63847269212179802"/>
    <n v="6.8451002448223303E-2"/>
    <n v="1321"/>
    <n v="747.99999999999898"/>
    <n v="9.5310245310245303E-2"/>
    <n v="4.57045093486496E-2"/>
    <n v="4.5688353018093097E-2"/>
    <n v="0.19325359588914301"/>
    <n v="3.6457256696200903E-2"/>
    <n v="0.21896281218254399"/>
    <n v="21.998314088317699"/>
    <n v="1.4065996493085406"/>
  </r>
  <r>
    <n v="4"/>
    <x v="0"/>
    <s v="[7.0, inf)"/>
    <n v="-0.67700000000000005"/>
    <n v="1.0760000000000001"/>
    <n v="30.538"/>
    <n v="1512"/>
    <n v="0.71296296296296202"/>
    <n v="5.0023158869847102E-2"/>
    <n v="1078"/>
    <n v="434"/>
    <n v="7.7777777777777696E-2"/>
    <n v="2.6518391787852799E-2"/>
    <n v="7.4490270841164802E-2"/>
    <n v="0.34107689082068898"/>
    <n v="5.5155982817171899E-2"/>
    <n v="0.21896281218254399"/>
    <n v="21.998314088317699"/>
    <n v="1.5276072255673909"/>
  </r>
  <r>
    <n v="1"/>
    <x v="1"/>
    <s v="[-inf, 5.0)"/>
    <n v="-0.44600000000000001"/>
    <n v="1.31"/>
    <n v="24.318999999999999"/>
    <n v="13033"/>
    <n v="0.75838256732908704"/>
    <n v="0.43118507245417798"/>
    <n v="9884"/>
    <n v="3149"/>
    <n v="0.71313131313131295"/>
    <n v="0.19241109617499599"/>
    <m/>
    <m/>
    <n v="0.68215981626438404"/>
    <n v="1.7054207847976901"/>
    <n v="62.801038086385702"/>
    <n v="10.485989777013154"/>
  </r>
  <r>
    <n v="2"/>
    <x v="1"/>
    <s v="[5.0, 10.0)"/>
    <n v="-0.44600000000000001"/>
    <n v="-0.111"/>
    <n v="-3.1240000000000001"/>
    <n v="5728"/>
    <n v="0.43104050279329598"/>
    <n v="0.18950572354926201"/>
    <n v="2469"/>
    <n v="3259"/>
    <n v="0.17813852813852801"/>
    <n v="0.199132347549798"/>
    <n v="0.32734206453579101"/>
    <n v="-1.4214395354998499"/>
    <n v="2.3388830260409198E-3"/>
    <n v="1.7054207847976901"/>
    <n v="62.801038086385702"/>
    <n v="-0.59201588036789454"/>
  </r>
  <r>
    <n v="3"/>
    <x v="1"/>
    <s v="[10.0, 11.0)"/>
    <n v="-0.44600000000000001"/>
    <n v="-0.63100000000000001"/>
    <n v="-13.16"/>
    <n v="2270"/>
    <n v="0.31057268722466902"/>
    <n v="7.5100906504334E-2"/>
    <n v="705"/>
    <n v="1564.99999999999"/>
    <n v="5.0865800865800802E-2"/>
    <n v="9.5625076377856499E-2"/>
    <n v="0.120467815568626"/>
    <n v="-0.519836110669602"/>
    <n v="2.8254036725326202E-2"/>
    <n v="1.7054207847976901"/>
    <n v="62.801038086385702"/>
    <n v="-0.98832792959703542"/>
  </r>
  <r>
    <n v="4"/>
    <x v="1"/>
    <s v="[11.0, inf)"/>
    <n v="-0.44600000000000001"/>
    <n v="-2.1819999999999999"/>
    <n v="-43.095999999999997"/>
    <n v="9195"/>
    <n v="8.7221315932571999E-2"/>
    <n v="0.304208297492225"/>
    <n v="802"/>
    <n v="8393"/>
    <n v="5.7864357864357799E-2"/>
    <n v="0.51283147989734801"/>
    <n v="0.22335137129209701"/>
    <n v="-1.5506013960543199"/>
    <n v="0.99266804878194304"/>
    <n v="1.7054207847976901"/>
    <n v="62.801038086385702"/>
    <n v="-13.110160788724928"/>
  </r>
  <r>
    <n v="1"/>
    <x v="2"/>
    <s v="[-inf, 4.0)"/>
    <n v="-0.40899999999999997"/>
    <n v="0.63900000000000001"/>
    <n v="10.345000000000001"/>
    <n v="22005"/>
    <n v="0.61599636446262196"/>
    <n v="0.72801561569509698"/>
    <n v="13555"/>
    <n v="8449.9999999999909"/>
    <n v="0.97799422799422797"/>
    <n v="0.51631431015519902"/>
    <m/>
    <m/>
    <n v="0.29491561902271601"/>
    <n v="1.7215668198092999"/>
    <n v="46.167991783902799"/>
    <n v="7.5313215443657784"/>
  </r>
  <r>
    <n v="2"/>
    <x v="2"/>
    <s v="[4.0, inf)"/>
    <n v="-0.40899999999999997"/>
    <n v="-3.09"/>
    <n v="-55.723999999999997"/>
    <n v="8221"/>
    <n v="3.71001094757328E-2"/>
    <n v="0.27198438430490302"/>
    <n v="305"/>
    <n v="7916"/>
    <n v="2.2005772005772001E-2"/>
    <n v="0.48368568984479998"/>
    <n v="0.57889625498688901"/>
    <n v="-3.7289185716965898"/>
    <n v="1.4266512007865899"/>
    <n v="1.7215668198092999"/>
    <n v="46.167991783902799"/>
    <n v="-15.156057831006414"/>
  </r>
  <r>
    <n v="1"/>
    <x v="3"/>
    <s v="[-inf, 5.0)"/>
    <n v="-0.40699999999999997"/>
    <n v="1.605"/>
    <n v="27.288"/>
    <n v="10413"/>
    <n v="0.80822049361375203"/>
    <n v="0.344504731026268"/>
    <n v="8416"/>
    <n v="1997"/>
    <n v="0.60721500721500699"/>
    <n v="0.122021263595258"/>
    <m/>
    <m/>
    <n v="0.77858439364202403"/>
    <n v="1.22518019265069"/>
    <n v="53.078770456260301"/>
    <n v="9.4008451002448012"/>
  </r>
  <r>
    <n v="2"/>
    <x v="3"/>
    <s v="[5.0, 30.0)"/>
    <n v="-0.40699999999999997"/>
    <n v="-0.30099999999999999"/>
    <n v="-6.2750000000000004"/>
    <n v="4724"/>
    <n v="0.38526672311600302"/>
    <n v="0.15628928736848999"/>
    <n v="1820"/>
    <n v="2904"/>
    <n v="0.13131313131313099"/>
    <n v="0.17744103629475699"/>
    <n v="0.42295377049774802"/>
    <n v="-1.9057411974355201"/>
    <n v="1.38869708187014E-2"/>
    <n v="1.22518019265069"/>
    <n v="53.078770456260301"/>
    <n v="-0.98071527823727478"/>
  </r>
  <r>
    <n v="3"/>
    <x v="3"/>
    <s v="[30.0, inf)"/>
    <n v="-0.40699999999999997"/>
    <n v="-0.98599999999999999"/>
    <n v="-18.329000000000001"/>
    <n v="15089"/>
    <n v="0.24017496189276899"/>
    <n v="0.49920598160523999"/>
    <n v="3624"/>
    <n v="11465"/>
    <n v="0.26147186147186102"/>
    <n v="0.70053770010998395"/>
    <n v="0.145091761223233"/>
    <n v="-0.68446793225528901"/>
    <n v="0.43270882818996798"/>
    <n v="1.22518019265069"/>
    <n v="53.078770456260301"/>
    <n v="-9.1499464368424448"/>
  </r>
  <r>
    <n v="1"/>
    <x v="4"/>
    <s v="[-inf, 2.0)"/>
    <n v="-0.372"/>
    <n v="1.61"/>
    <n v="24.914999999999999"/>
    <n v="10190"/>
    <n v="0.80902845927379696"/>
    <n v="0.33712697677496101"/>
    <n v="8244"/>
    <n v="1946"/>
    <n v="0.594805194805194"/>
    <n v="0.118905047048759"/>
    <m/>
    <m/>
    <n v="0.76615578706593701"/>
    <n v="1.2785382769898099"/>
    <n v="56.440227152374199"/>
    <n v="8.3995186263481525"/>
  </r>
  <r>
    <n v="2"/>
    <x v="4"/>
    <s v="[2.0, 5.0)"/>
    <n v="-0.372"/>
    <n v="-0.23899999999999999"/>
    <n v="-4.8129999999999997"/>
    <n v="1757"/>
    <n v="0.40011383039271398"/>
    <n v="5.8128763316350099E-2"/>
    <n v="703"/>
    <n v="1054"/>
    <n v="5.0721500721500702E-2"/>
    <n v="6.4401808627642596E-2"/>
    <n v="0.40891462888108299"/>
    <n v="-1.8487005165550401"/>
    <n v="3.26674560866553E-3"/>
    <n v="1.2785382769898099"/>
    <n v="56.440227152374199"/>
    <n v="-0.27977373784159298"/>
  </r>
  <r>
    <n v="3"/>
    <x v="4"/>
    <s v="[5.0, 30.0)"/>
    <n v="-0.372"/>
    <n v="-0.83"/>
    <n v="-14.315"/>
    <n v="3203"/>
    <n v="0.26974711208242202"/>
    <n v="0.105968371600608"/>
    <n v="864"/>
    <n v="2339"/>
    <n v="6.2337662337662303E-2"/>
    <n v="0.14291824514236801"/>
    <n v="0.13036671831029201"/>
    <n v="-0.59091516048948001"/>
    <n v="6.68582719601407E-2"/>
    <n v="1.2785382769898099"/>
    <n v="56.440227152374199"/>
    <n v="-1.5169372394627034"/>
  </r>
  <r>
    <n v="4"/>
    <x v="4"/>
    <s v="[30.0, 100.0)"/>
    <n v="-0.372"/>
    <n v="-1.357"/>
    <n v="-22.794"/>
    <n v="3866"/>
    <n v="0.17899637868598001"/>
    <n v="0.12790312975583901"/>
    <n v="692"/>
    <n v="3174"/>
    <n v="4.9927849927849897E-2"/>
    <n v="0.19393865330563301"/>
    <n v="9.0750733396442407E-2"/>
    <n v="-0.52725594768856099"/>
    <n v="0.19541732128917599"/>
    <n v="1.2785382769898099"/>
    <n v="56.440227152374199"/>
    <n v="-2.9154239396545942"/>
  </r>
  <r>
    <n v="5"/>
    <x v="4"/>
    <s v="[100.0, inf)"/>
    <n v="-0.372"/>
    <n v="-1.494"/>
    <n v="-24.99"/>
    <n v="3492"/>
    <n v="0.15979381443298901"/>
    <n v="0.115529676437504"/>
    <n v="558"/>
    <n v="2934"/>
    <n v="4.0259740259740197E-2"/>
    <n v="0.17927410485152101"/>
    <n v="1.9202564252990599E-2"/>
    <n v="-0.13660105085293101"/>
    <n v="0.20762684737581"/>
    <n v="1.2785382769898099"/>
    <n v="56.440227152374199"/>
    <n v="-2.8870866141732248"/>
  </r>
  <r>
    <n v="6"/>
    <x v="4"/>
    <s v="Missing"/>
    <n v="-0.372"/>
    <n v="-0.39800000000000002"/>
    <n v="-7.367"/>
    <n v="7718"/>
    <n v="0.36265871987561499"/>
    <n v="0.255343082114735"/>
    <n v="2799"/>
    <n v="4919"/>
    <n v="0.20194805194805099"/>
    <n v="0.30056214102407403"/>
    <n v="0.202864905442625"/>
    <n v="1.09591994904173"/>
    <n v="3.9213303690087797E-2"/>
    <n v="1.2785382769898099"/>
    <n v="56.440227152374199"/>
    <n v="-1.8811124859392527"/>
  </r>
  <r>
    <n v="1"/>
    <x v="5"/>
    <s v="[-inf, 30.0)"/>
    <n v="-0.30299999999999999"/>
    <n v="-1.5980000000000001"/>
    <n v="-21.917000000000002"/>
    <n v="6135"/>
    <n v="0.14621026894865499"/>
    <n v="0.20297095216039099"/>
    <n v="897"/>
    <n v="5238"/>
    <n v="6.4718614718614703E-2"/>
    <n v="0.320053770010998"/>
    <m/>
    <m/>
    <n v="0.40813796256372697"/>
    <n v="0.49675443494027799"/>
    <n v="27.345566839639901"/>
    <n v="-4.4485143584992892"/>
  </r>
  <r>
    <n v="2"/>
    <x v="5"/>
    <s v="[30.0, 60.0)"/>
    <n v="-0.30299999999999999"/>
    <n v="-4.1000000000000002E-2"/>
    <n v="-1.5089999999999999"/>
    <n v="533"/>
    <n v="0.448405253283302"/>
    <n v="1.7633825183616701E-2"/>
    <n v="239"/>
    <n v="294"/>
    <n v="1.72438672438672E-2"/>
    <n v="1.79640718562874E-2"/>
    <n v="0.30219498433464598"/>
    <n v="1.5575229476016801"/>
    <n v="2.94687540526095E-5"/>
    <n v="0.49675443494027799"/>
    <n v="27.345566839639901"/>
    <n v="-2.6609442202077598E-2"/>
  </r>
  <r>
    <n v="3"/>
    <x v="5"/>
    <s v="[60.0, inf)"/>
    <n v="-0.30299999999999999"/>
    <n v="0.58799999999999997"/>
    <n v="6.734"/>
    <n v="1967"/>
    <n v="0.60396542958820498"/>
    <n v="6.5076424270495606E-2"/>
    <n v="1188"/>
    <n v="778.99999999999898"/>
    <n v="8.5714285714285701E-2"/>
    <n v="4.7598680190639099E-2"/>
    <n v="0.15556017630490299"/>
    <n v="0.629131669459012"/>
    <n v="2.2420150793118199E-2"/>
    <n v="0.49675443494027799"/>
    <n v="27.345566839639901"/>
    <n v="0.4382246410375174"/>
  </r>
  <r>
    <n v="4"/>
    <x v="5"/>
    <s v="Missing"/>
    <n v="-0.30299999999999999"/>
    <n v="0.30399999999999999"/>
    <n v="3.0049999999999999"/>
    <n v="21591"/>
    <n v="0.53429669769811405"/>
    <n v="0.71431879838549595"/>
    <n v="11536"/>
    <n v="10055"/>
    <n v="0.83232323232323202"/>
    <n v="0.61438347794207504"/>
    <n v="6.9668731890090402E-2"/>
    <n v="-0.28461289673386397"/>
    <n v="6.6166852829380202E-2"/>
    <n v="0.49675443494027799"/>
    <n v="27.345566839639901"/>
    <n v="2.146527989148415"/>
  </r>
  <r>
    <n v="1"/>
    <x v="6"/>
    <s v="[-inf, 1.0)"/>
    <n v="-0.21"/>
    <n v="-6.2E-2"/>
    <n v="-1.538"/>
    <n v="28246"/>
    <n v="0.44314239184309201"/>
    <n v="0.93449348243234298"/>
    <n v="12517"/>
    <n v="15729"/>
    <n v="0.90310245310245296"/>
    <n v="0.96107784431137699"/>
    <m/>
    <m/>
    <n v="3.6071942627095002E-3"/>
    <n v="5.6486001255774902E-2"/>
    <n v="5.7975391208924103"/>
    <n v="-1.4372509759809435"/>
  </r>
  <r>
    <n v="2"/>
    <x v="6"/>
    <s v="[1.0, inf)"/>
    <n v="-0.21"/>
    <n v="0.91200000000000003"/>
    <n v="7.3140000000000001"/>
    <n v="1980"/>
    <n v="0.67828282828282804"/>
    <n v="6.5506517567656894E-2"/>
    <n v="1343"/>
    <n v="637"/>
    <n v="9.6897546897546899E-2"/>
    <n v="3.89221556886227E-2"/>
    <n v="0.23514043643973501"/>
    <n v="0.97430996286369298"/>
    <n v="5.2878806993065401E-2"/>
    <n v="5.6486001255774902E-2"/>
    <n v="5.7975391208924103"/>
    <n v="0.47911466948984255"/>
  </r>
  <r>
    <n v="1"/>
    <x v="7"/>
    <s v="[-inf, 30.0)"/>
    <n v="-0.193"/>
    <n v="0.248"/>
    <n v="1.0980000000000001"/>
    <n v="3985"/>
    <n v="0.52045169385194401"/>
    <n v="0.131840137629855"/>
    <n v="2074"/>
    <n v="1911"/>
    <n v="0.14963924963924899"/>
    <n v="0.116766467065868"/>
    <m/>
    <m/>
    <n v="8.1541418066786806E-3"/>
    <n v="1.55871538019333E-2"/>
    <n v="4.8383663805880497"/>
    <n v="0.14476047111758081"/>
  </r>
  <r>
    <n v="2"/>
    <x v="7"/>
    <s v="[30.0, inf)"/>
    <n v="-0.193"/>
    <n v="-0.36099999999999999"/>
    <n v="-3.988"/>
    <n v="1719"/>
    <n v="0.371146015125072"/>
    <n v="5.6871567524647601E-2"/>
    <n v="638"/>
    <n v="1081"/>
    <n v="4.6031746031746E-2"/>
    <n v="6.60515703287302E-2"/>
    <n v="0.149305678726872"/>
    <n v="-0.60915597884361705"/>
    <n v="7.2292489621862696E-3"/>
    <n v="1.55871538019333E-2"/>
    <n v="4.8383663805880497"/>
    <n v="-0.22680381128829463"/>
  </r>
  <r>
    <n v="3"/>
    <x v="7"/>
    <s v="Missing"/>
    <n v="-0.193"/>
    <n v="-1.6E-2"/>
    <n v="-1.105"/>
    <n v="24522"/>
    <n v="0.45461218497675498"/>
    <n v="0.81128829484549703"/>
    <n v="11148"/>
    <n v="13374"/>
    <n v="0.804329004329004"/>
    <n v="0.81718196260540099"/>
    <n v="8.34661698516828E-2"/>
    <n v="0.34525112028233301"/>
    <n v="2.03763033068401E-4"/>
    <n v="1.55871538019333E-2"/>
    <n v="4.8383663805880497"/>
    <n v="-0.89647356580427418"/>
  </r>
  <r>
    <n v="1"/>
    <x v="8"/>
    <s v="[-inf, 500000.0)"/>
    <n v="-0.188"/>
    <n v="-0.57599999999999996"/>
    <n v="-5.6609999999999996"/>
    <n v="14662"/>
    <n v="0.322602646296548"/>
    <n v="0.48507907099847802"/>
    <n v="4730"/>
    <n v="9932"/>
    <n v="0.341269841269841"/>
    <n v="0.60686789685934195"/>
    <m/>
    <m/>
    <n v="0.152888239713836"/>
    <n v="0.39986592485911299"/>
    <n v="32.992752457801899"/>
    <n v="-2.7460326209223838"/>
  </r>
  <r>
    <n v="2"/>
    <x v="8"/>
    <s v="[500000.0, 3000000.0)"/>
    <n v="-0.188"/>
    <n v="0.47599999999999998"/>
    <n v="2.9060000000000001"/>
    <n v="1586"/>
    <n v="0.57692307692307598"/>
    <n v="5.2471382253688803E-2"/>
    <n v="914.99999999999898"/>
    <n v="671"/>
    <n v="6.6017316017316002E-2"/>
    <n v="4.0999633386288599E-2"/>
    <n v="0.25432043062652798"/>
    <n v="1.0519915934459101"/>
    <n v="1.19172718572587E-2"/>
    <n v="0.39986592485911299"/>
    <n v="32.992752457801899"/>
    <n v="0.15248183682921967"/>
  </r>
  <r>
    <n v="3"/>
    <x v="8"/>
    <s v="[3000000.0, 8500000.0)"/>
    <n v="-0.188"/>
    <n v="0.74"/>
    <n v="5.0519999999999996"/>
    <n v="1798"/>
    <n v="0.63959955506117905"/>
    <n v="5.9485211407397598E-2"/>
    <n v="1150"/>
    <n v="648"/>
    <n v="8.2972582972582906E-2"/>
    <n v="3.9594280826102897E-2"/>
    <n v="6.2676478138102107E-2"/>
    <n v="0.26347159670118098"/>
    <n v="3.2092375955053001E-2"/>
    <n v="0.39986592485911299"/>
    <n v="32.992752457801899"/>
    <n v="0.30051928803017264"/>
  </r>
  <r>
    <n v="4"/>
    <x v="8"/>
    <s v="[8500000.0, 31000000.0)"/>
    <n v="-0.188"/>
    <n v="0.78200000000000003"/>
    <n v="5.399"/>
    <n v="3103"/>
    <n v="0.64937157589429495"/>
    <n v="0.10265996162244399"/>
    <n v="2015"/>
    <n v="1088"/>
    <n v="0.145382395382395"/>
    <n v="6.6479286325308501E-2"/>
    <n v="9.7720208331167902E-3"/>
    <n v="4.26515219598744E-2"/>
    <n v="6.1739873218692197E-2"/>
    <n v="0.39986592485911299"/>
    <n v="32.992752457801899"/>
    <n v="0.55426113279957512"/>
  </r>
  <r>
    <n v="5"/>
    <x v="8"/>
    <s v="[31000000.0, 68000000.0)"/>
    <n v="-0.188"/>
    <n v="0.96099999999999997"/>
    <n v="6.8559999999999999"/>
    <n v="1887"/>
    <n v="0.68892421833598305"/>
    <n v="6.2429696287964E-2"/>
    <n v="1300"/>
    <n v="587"/>
    <n v="9.3795093795093695E-2"/>
    <n v="3.5867041427349297E-2"/>
    <n v="3.95526424416872E-2"/>
    <n v="0.178816676656636"/>
    <n v="5.5685874225331403E-2"/>
    <n v="0.39986592485911299"/>
    <n v="32.992752457801899"/>
    <n v="0.42801799775028115"/>
  </r>
  <r>
    <n v="6"/>
    <x v="8"/>
    <s v="[68000000.0, inf)"/>
    <n v="-0.188"/>
    <n v="1.1919999999999999"/>
    <n v="8.734"/>
    <n v="1925"/>
    <n v="0.73610389610389604"/>
    <n v="6.3686892079666504E-2"/>
    <n v="1417"/>
    <n v="507.99999999999898"/>
    <n v="0.102236652236652"/>
    <n v="3.1039960894537401E-2"/>
    <n v="4.7179677767913097E-2"/>
    <n v="0.23072106849066701"/>
    <n v="8.4867510535238999E-2"/>
    <n v="0.39986592485911299"/>
    <n v="32.992752457801899"/>
    <n v="0.55624131542380728"/>
  </r>
  <r>
    <n v="7"/>
    <x v="8"/>
    <s v="Missing"/>
    <n v="-0.188"/>
    <n v="-6.2E-2"/>
    <n v="-1.4810000000000001"/>
    <n v="5265"/>
    <n v="0.44311490978157603"/>
    <n v="0.17418778535036"/>
    <n v="2333"/>
    <n v="2931.99999999999"/>
    <n v="0.16832611832611799"/>
    <n v="0.17915190028107"/>
    <n v="0.29298898632231901"/>
    <n v="-1.25434558309731"/>
    <n v="6.74779353702515E-4"/>
    <n v="0.39986592485911299"/>
    <n v="32.992752457801899"/>
    <n v="-0.25797211010388316"/>
  </r>
  <r>
    <n v="1"/>
    <x v="9"/>
    <s v="[-inf, 0.604)"/>
    <n v="-0.18099999999999999"/>
    <n v="0.09"/>
    <n v="-0.27200000000000002"/>
    <n v="1672"/>
    <n v="0.48086124401913799"/>
    <n v="5.5316614834910301E-2"/>
    <n v="804"/>
    <n v="868"/>
    <n v="5.8008658008658003E-2"/>
    <n v="5.3036783575705702E-2"/>
    <m/>
    <m/>
    <n v="4.4551262863729702E-4"/>
    <n v="0.513165799736092"/>
    <n v="36.816541402573399"/>
    <n v="-1.5046119235095603E-2"/>
  </r>
  <r>
    <n v="2"/>
    <x v="9"/>
    <s v="[0.604, 0.882)"/>
    <n v="-0.18099999999999999"/>
    <n v="0.53300000000000003"/>
    <n v="3.1949999999999998"/>
    <n v="2326"/>
    <n v="0.59071367153912202"/>
    <n v="7.6953616092106103E-2"/>
    <n v="1373.99999999999"/>
    <n v="952"/>
    <n v="9.9134199134199102E-2"/>
    <n v="5.8169375534644997E-2"/>
    <n v="0.109852427519984"/>
    <n v="0.44350888347231199"/>
    <n v="2.1838980626932899E-2"/>
    <n v="0.513165799736092"/>
    <n v="36.816541402573399"/>
    <n v="0.24586680341427899"/>
  </r>
  <r>
    <n v="3"/>
    <x v="9"/>
    <s v="[0.882, 1.0)"/>
    <n v="-0.18099999999999999"/>
    <n v="0.84899999999999998"/>
    <n v="5.6639999999999997"/>
    <n v="1874"/>
    <n v="0.66435432230522895"/>
    <n v="6.1999602990802601E-2"/>
    <n v="1245"/>
    <n v="628.99999999999898"/>
    <n v="8.9826839826839797E-2"/>
    <n v="3.8433337406819E-2"/>
    <n v="7.3640650766106597E-2"/>
    <n v="0.31584311420743799"/>
    <n v="4.3630954349637402E-2"/>
    <n v="0.513165799736092"/>
    <n v="36.816541402573399"/>
    <n v="0.35116575133990591"/>
  </r>
  <r>
    <n v="4"/>
    <x v="9"/>
    <s v="[1.0, 1.444)"/>
    <n v="-0.18099999999999999"/>
    <n v="1.0309999999999999"/>
    <n v="7.0869999999999997"/>
    <n v="5774"/>
    <n v="0.70367163145133305"/>
    <n v="0.191027592139217"/>
    <n v="4063"/>
    <n v="1710.99999999999"/>
    <n v="0.29314574314574299"/>
    <n v="0.104546010020774"/>
    <n v="3.9317309146103999E-2"/>
    <n v="0.182084069897165"/>
    <n v="0.19445436682725101"/>
    <n v="0.513165799736092"/>
    <n v="36.816541402573399"/>
    <n v="1.3538125454906309"/>
  </r>
  <r>
    <n v="5"/>
    <x v="9"/>
    <s v="[1.444, inf)"/>
    <n v="-0.18099999999999999"/>
    <n v="0.73399999999999999"/>
    <n v="4.7670000000000003"/>
    <n v="1634"/>
    <n v="0.63831089351285097"/>
    <n v="5.4059419043207803E-2"/>
    <n v="1043"/>
    <n v="591"/>
    <n v="7.5252525252525196E-2"/>
    <n v="3.6111450568251199E-2"/>
    <n v="6.5360737938481697E-2"/>
    <n v="-0.29680318450085902"/>
    <n v="2.8738921381014099E-2"/>
    <n v="0.513165799736092"/>
    <n v="36.816541402573399"/>
    <n v="0.25770125057897164"/>
  </r>
  <r>
    <n v="6"/>
    <x v="9"/>
    <s v="Missing"/>
    <n v="-0.18099999999999999"/>
    <n v="-0.66200000000000003"/>
    <n v="-6.1459999999999999"/>
    <n v="16219"/>
    <n v="0.304087798261298"/>
    <n v="0.53659101435849899"/>
    <n v="4932"/>
    <n v="11287"/>
    <n v="0.35584415584415502"/>
    <n v="0.68966149333985005"/>
    <n v="0.33422309525155303"/>
    <n v="-1.3959474732660599"/>
    <n v="0.22088960854397399"/>
    <n v="0.513165799736092"/>
    <n v="36.816541402573399"/>
    <n v="-3.2978883742473348"/>
  </r>
  <r>
    <n v="7"/>
    <x v="9"/>
    <s v="missing_binahayat"/>
    <n v="-0.18099999999999999"/>
    <n v="0.36199999999999999"/>
    <n v="1.8580000000000001"/>
    <n v="727"/>
    <n v="0.548830811554332"/>
    <n v="2.40521405412558E-2"/>
    <n v="399"/>
    <n v="328"/>
    <n v="2.8787878787878699E-2"/>
    <n v="2.0041549553953299E-2"/>
    <n v="0.244743013293034"/>
    <n v="1.02385484417711"/>
    <n v="3.1674553786440801E-3"/>
    <n v="0.513165799736092"/>
    <n v="36.816541402573399"/>
    <n v="4.4688877125653281E-2"/>
  </r>
  <r>
    <n v="1"/>
    <x v="10"/>
    <s v="[-inf, 1.0)"/>
    <n v="-8.3000000000000004E-2"/>
    <n v="-0.71599999999999997"/>
    <n v="-3.5489999999999999"/>
    <n v="11926"/>
    <n v="0.29272178433674301"/>
    <n v="0.39456097399589701"/>
    <n v="3490.99999999999"/>
    <n v="8435"/>
    <n v="0.25187590187590098"/>
    <n v="0.51539777587681701"/>
    <m/>
    <m/>
    <n v="0.18868231256025"/>
    <n v="0.431454562635678"/>
    <n v="35.337869626944503"/>
    <n v="-1.4002968967114384"/>
  </r>
  <r>
    <n v="2"/>
    <x v="10"/>
    <s v="[1.0, 2.0)"/>
    <n v="-8.3000000000000004E-2"/>
    <n v="6.0000000000000001E-3"/>
    <n v="-0.95199999999999996"/>
    <n v="1861"/>
    <n v="0.45996775926921002"/>
    <n v="6.1569509693641201E-2"/>
    <n v="856"/>
    <n v="1005"/>
    <n v="6.1760461760461703E-2"/>
    <n v="6.1407796651594702E-2"/>
    <n v="0.16724597493246601"/>
    <n v="0.72172904352359801"/>
    <n v="2.0195628403230999E-6"/>
    <n v="0.431454562635678"/>
    <n v="35.337869626944503"/>
    <n v="-5.8614173228346424E-2"/>
  </r>
  <r>
    <n v="3"/>
    <x v="10"/>
    <s v="[2.0, 3.0)"/>
    <n v="-8.3000000000000004E-2"/>
    <n v="0.30499999999999999"/>
    <n v="0.126"/>
    <n v="1842"/>
    <n v="0.53474484256243204"/>
    <n v="6.0940911797789897E-2"/>
    <n v="985"/>
    <n v="857"/>
    <n v="7.1067821067821002E-2"/>
    <n v="5.2364658438225499E-2"/>
    <n v="7.4777083293221996E-2"/>
    <n v="0.299676166925743"/>
    <n v="5.7119971309087404E-3"/>
    <n v="0.431454562635678"/>
    <n v="35.337869626944503"/>
    <n v="7.678554886521527E-3"/>
  </r>
  <r>
    <n v="4"/>
    <x v="10"/>
    <s v="[3.0, 4.0)"/>
    <n v="-8.3000000000000004E-2"/>
    <n v="0.49399999999999999"/>
    <n v="0.80300000000000005"/>
    <n v="1812"/>
    <n v="0.58112582781456901"/>
    <n v="5.9948388804340599E-2"/>
    <n v="1053"/>
    <n v="759"/>
    <n v="7.5974025974025902E-2"/>
    <n v="4.6376634486129699E-2"/>
    <n v="4.6380985252137401E-2"/>
    <n v="0.188193012164036"/>
    <n v="1.46091467407243E-2"/>
    <n v="0.431454562635678"/>
    <n v="35.337869626944503"/>
    <n v="4.8138556209885504E-2"/>
  </r>
  <r>
    <n v="5"/>
    <x v="10"/>
    <s v="[4.0, 5.0)"/>
    <n v="-8.3000000000000004E-2"/>
    <n v="0.59499999999999997"/>
    <n v="1.1679999999999999"/>
    <n v="1818"/>
    <n v="0.605610561056105"/>
    <n v="6.0146893403030498E-2"/>
    <n v="1101"/>
    <n v="717"/>
    <n v="7.9437229437229404E-2"/>
    <n v="4.38103385066601E-2"/>
    <n v="2.44847332415359E-2"/>
    <n v="0.101501561384713"/>
    <n v="2.12014671155724E-2"/>
    <n v="0.431454562635678"/>
    <n v="35.337869626944503"/>
    <n v="7.0251571494739623E-2"/>
  </r>
  <r>
    <n v="6"/>
    <x v="10"/>
    <s v="[5.0, inf)"/>
    <n v="-8.3000000000000004E-2"/>
    <n v="1.0549999999999999"/>
    <n v="2.8239999999999998"/>
    <n v="5702"/>
    <n v="0.70869870220975095"/>
    <n v="0.18864553695493899"/>
    <n v="4041"/>
    <n v="1661"/>
    <n v="0.29155844155844102"/>
    <n v="0.101490895759501"/>
    <n v="0.10308814115364499"/>
    <n v="0.46017405934211902"/>
    <n v="0.20057284017167801"/>
    <n v="0.431454562635678"/>
    <n v="35.337869626944503"/>
    <n v="0.53273499636074773"/>
  </r>
  <r>
    <n v="7"/>
    <x v="10"/>
    <s v="Missing"/>
    <n v="-8.3000000000000004E-2"/>
    <n v="-6.2E-2"/>
    <n v="-1.1970000000000001"/>
    <n v="5265"/>
    <n v="0.44311490978157603"/>
    <n v="0.17418778535036"/>
    <n v="2333"/>
    <n v="2931.99999999999"/>
    <n v="0.16832611832611799"/>
    <n v="0.17915190028107"/>
    <n v="0.26558379242817398"/>
    <n v="-1.1176021464502901"/>
    <n v="6.74779353702515E-4"/>
    <n v="0.431454562635678"/>
    <n v="35.337869626944503"/>
    <n v="-0.20850277906438094"/>
  </r>
  <r>
    <n v="1"/>
    <x v="11"/>
    <s v="[-inf, 1.0)"/>
    <n v="-4.9000000000000002E-2"/>
    <n v="-2.048"/>
    <n v="-5.3109999999999999"/>
    <n v="4428"/>
    <n v="9.8464317976513102E-2"/>
    <n v="0.14649639383312299"/>
    <n v="436"/>
    <n v="3992"/>
    <n v="3.1457431457431399E-2"/>
    <n v="0.24392032262006599"/>
    <m/>
    <m/>
    <n v="0.43516784828722499"/>
    <n v="0.82286067105143901"/>
    <n v="44.681898681654197"/>
    <n v="-0.77804234764771618"/>
  </r>
  <r>
    <n v="2"/>
    <x v="11"/>
    <s v="[1.0, 3.0)"/>
    <n v="-4.9000000000000002E-2"/>
    <n v="-0.92900000000000005"/>
    <n v="-2.9409999999999998"/>
    <n v="1580"/>
    <n v="0.25063291139240501"/>
    <n v="5.2272877654999002E-2"/>
    <n v="396"/>
    <n v="1184"/>
    <n v="2.8571428571428501E-2"/>
    <n v="7.2345105706953405E-2"/>
    <n v="0.15216859341589101"/>
    <n v="1.11916578989285"/>
    <n v="4.0667522650623303E-2"/>
    <n v="0.82286067105143901"/>
    <n v="44.681898681654197"/>
    <n v="-0.15373453318335206"/>
  </r>
  <r>
    <n v="3"/>
    <x v="11"/>
    <s v="[3.0, 6.0)"/>
    <n v="-4.9000000000000002E-2"/>
    <n v="-0.15"/>
    <n v="-1.2909999999999999"/>
    <n v="2009"/>
    <n v="0.42160278745644503"/>
    <n v="6.6465956461324693E-2"/>
    <n v="847"/>
    <n v="1162"/>
    <n v="6.1111111111111102E-2"/>
    <n v="7.1000855431993096E-2"/>
    <n v="0.17096987606403999"/>
    <n v="0.77904236142966798"/>
    <n v="1.4834440880641701E-3"/>
    <n v="0.82286067105143901"/>
    <n v="44.681898681654197"/>
    <n v="-8.5807549791570167E-2"/>
  </r>
  <r>
    <n v="4"/>
    <x v="11"/>
    <s v="[6.0, 9.0)"/>
    <n v="-4.9000000000000002E-2"/>
    <n v="0.377"/>
    <n v="-0.17399999999999999"/>
    <n v="2590"/>
    <n v="0.55250965250965201"/>
    <n v="8.5687818434460397E-2"/>
    <n v="1431"/>
    <n v="1158.99999999999"/>
    <n v="0.103246753246753"/>
    <n v="7.0817548576316697E-2"/>
    <n v="0.13090686505320601"/>
    <n v="0.52701317897650102"/>
    <n v="1.22262951252458E-2"/>
    <n v="0.82286067105143901"/>
    <n v="44.681898681654197"/>
    <n v="-1.4909680407596108E-2"/>
  </r>
  <r>
    <n v="5"/>
    <x v="11"/>
    <s v="[9.0, inf)"/>
    <n v="-4.9000000000000002E-2"/>
    <n v="0.78700000000000003"/>
    <n v="0.69299999999999995"/>
    <n v="13459"/>
    <n v="0.65034549372167305"/>
    <n v="0.44527889896115902"/>
    <n v="8753"/>
    <n v="4705.99999999999"/>
    <n v="0.63152958152958105"/>
    <n v="0.28754735427104899"/>
    <n v="9.7835841212020699E-2"/>
    <n v="0.40974227222843002"/>
    <n v="0.270630503182475"/>
    <n v="0.82286067105143901"/>
    <n v="44.681898681654197"/>
    <n v="0.30857827698008317"/>
  </r>
  <r>
    <n v="6"/>
    <x v="11"/>
    <s v="Missing"/>
    <n v="-4.9000000000000002E-2"/>
    <n v="-0.56799999999999995"/>
    <n v="-2.177"/>
    <n v="6160"/>
    <n v="0.32418831168831103"/>
    <n v="0.203798054654932"/>
    <n v="1997"/>
    <n v="4163"/>
    <n v="0.14408369408369401"/>
    <n v="0.25436881339362"/>
    <n v="0.32615718203336103"/>
    <n v="-1.35514812222429"/>
    <n v="6.2685057717805304E-2"/>
    <n v="0.82286067105143901"/>
    <n v="44.681898681654197"/>
    <n v="-0.44366836498378698"/>
  </r>
  <r>
    <n v="1"/>
    <x v="12"/>
    <s v="[-inf, 5.0)"/>
    <n v="-1.7000000000000001E-2"/>
    <n v="0.54800000000000004"/>
    <n v="-0.56899999999999995"/>
    <n v="1765"/>
    <n v="0.59433427762039603"/>
    <n v="5.8393436114603299E-2"/>
    <n v="1049"/>
    <n v="716"/>
    <n v="7.5685425685425606E-2"/>
    <n v="4.3749236221434597E-2"/>
    <m/>
    <m/>
    <n v="1.7504591426889499E-2"/>
    <n v="0.549643328183822"/>
    <n v="36.838340722918502"/>
    <n v="-3.3225865149209277E-2"/>
  </r>
  <r>
    <n v="2"/>
    <x v="12"/>
    <s v="[5.0, 20.0)"/>
    <n v="-1.7000000000000001E-2"/>
    <n v="0.73599999999999999"/>
    <n v="-0.43"/>
    <n v="2910"/>
    <n v="0.63883161512027398"/>
    <n v="9.6274730364586697E-2"/>
    <n v="1858.99999999999"/>
    <n v="1051"/>
    <n v="0.13412698412698401"/>
    <n v="6.4218501771966197E-2"/>
    <n v="4.4497337499878199E-2"/>
    <n v="0.188384175408841"/>
    <n v="5.1487292117082702E-2"/>
    <n v="0.549643328183822"/>
    <n v="36.838340722918502"/>
    <n v="-4.1398134056772277E-2"/>
  </r>
  <r>
    <n v="3"/>
    <x v="12"/>
    <s v="[20.0, 30.0)"/>
    <n v="-1.7000000000000001E-2"/>
    <n v="0.85899999999999999"/>
    <n v="-0.33900000000000002"/>
    <n v="1089"/>
    <n v="0.66666666666666596"/>
    <n v="3.6028584662211302E-2"/>
    <n v="726"/>
    <n v="363"/>
    <n v="5.2380952380952299E-2"/>
    <n v="2.21801295368446E-2"/>
    <n v="2.7835051546391699E-2"/>
    <n v="0.122850563715452"/>
    <n v="2.59529623148382E-2"/>
    <n v="0.549643328183822"/>
    <n v="36.838340722918502"/>
    <n v="-1.2213690200489633E-2"/>
  </r>
  <r>
    <n v="4"/>
    <x v="12"/>
    <s v="[30.0, 80.0)"/>
    <n v="-1.7000000000000001E-2"/>
    <n v="0.95"/>
    <n v="-0.27200000000000002"/>
    <n v="3292"/>
    <n v="0.68651275820170099"/>
    <n v="0.108912856481175"/>
    <n v="2260"/>
    <n v="1032"/>
    <n v="0.16305916305916299"/>
    <n v="6.3057558352682397E-2"/>
    <n v="1.9846091535034398E-2"/>
    <n v="9.0718965664878304E-2"/>
    <n v="9.5008041032552198E-2"/>
    <n v="0.549643328183822"/>
    <n v="36.838340722918502"/>
    <n v="-2.9624296962879604E-2"/>
  </r>
  <r>
    <n v="5"/>
    <x v="12"/>
    <s v="[80.0, inf)"/>
    <n v="-1.7000000000000001E-2"/>
    <n v="1.17"/>
    <n v="-0.11"/>
    <n v="3270"/>
    <n v="0.73180428134556497"/>
    <n v="0.10818500628597801"/>
    <n v="2393"/>
    <n v="877"/>
    <n v="0.17265512265512201"/>
    <n v="5.3586704142734899E-2"/>
    <n v="4.5291523143864601E-2"/>
    <n v="0.219929949311366"/>
    <n v="0.13930946787686699"/>
    <n v="0.549643328183822"/>
    <n v="36.838340722918502"/>
    <n v="-1.1900350691457581E-2"/>
  </r>
  <r>
    <n v="6"/>
    <x v="12"/>
    <s v="Missing"/>
    <n v="-1.7000000000000001E-2"/>
    <n v="-0.628"/>
    <n v="-1.4359999999999999"/>
    <n v="17900"/>
    <n v="0.311340782122905"/>
    <n v="0.59220538609144402"/>
    <n v="5572.99999999999"/>
    <n v="12327"/>
    <n v="0.402092352092352"/>
    <n v="0.75320786997433697"/>
    <n v="0.42046349922266002"/>
    <n v="-1.7976545655181699"/>
    <n v="0.22038097341559201"/>
    <n v="0.549643328183822"/>
    <n v="36.838340722918502"/>
    <n v="-0.850406934427313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F73A0-B6F0-40D6-8FA5-24EAB06FDE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5:AF39" firstHeaderRow="0" firstDataRow="1" firstDataCol="1"/>
  <pivotFields count="19">
    <pivotField showAll="0"/>
    <pivotField axis="axisRow" showAll="0">
      <items count="14">
        <item x="12"/>
        <item x="5"/>
        <item x="8"/>
        <item x="6"/>
        <item x="1"/>
        <item x="10"/>
        <item x="3"/>
        <item x="4"/>
        <item x="2"/>
        <item x="9"/>
        <item x="0"/>
        <item x="11"/>
        <item x="7"/>
        <item t="default"/>
      </items>
    </pivotField>
    <pivotField showAll="0"/>
    <pivotField showAll="0"/>
    <pivotField showAll="0"/>
    <pivotField dataField="1" showAll="0"/>
    <pivotField showAll="0"/>
    <pivotField numFmtId="10" showAll="0"/>
    <pivotField numFmtId="10" showAll="0"/>
    <pivotField showAll="0"/>
    <pivotField showAll="0"/>
    <pivotField numFmtId="10" showAll="0"/>
    <pivotField numFmtId="10" showAll="0"/>
    <pivotField showAll="0"/>
    <pivotField showAll="0"/>
    <pivotField numFmtId="164" showAll="0"/>
    <pivotField numFmtId="164" showAll="0"/>
    <pivotField numFmtId="164" showAll="0"/>
    <pivotField dataField="1"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Max of score" fld="5" subtotal="max" baseField="1" baseItem="0"/>
    <dataField name="Sum of score * prop_n_ob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C57E-C0CA-43A8-AA5C-2C34AB541173}">
  <dimension ref="A1:AG63"/>
  <sheetViews>
    <sheetView tabSelected="1" zoomScale="115" zoomScaleNormal="115" workbookViewId="0">
      <pane xSplit="6" ySplit="1" topLeftCell="L2" activePane="bottomRight" state="frozen"/>
      <selection pane="topRight" activeCell="G1" sqref="G1"/>
      <selection pane="bottomLeft" activeCell="A2" sqref="A2"/>
      <selection pane="bottomRight" activeCell="AC1" sqref="AC1:AC1048576"/>
    </sheetView>
  </sheetViews>
  <sheetFormatPr defaultRowHeight="15" x14ac:dyDescent="0.25"/>
  <cols>
    <col min="1" max="1" width="4.28515625" bestFit="1" customWidth="1"/>
    <col min="2" max="2" width="43.42578125" bestFit="1" customWidth="1"/>
    <col min="3" max="3" width="23" bestFit="1" customWidth="1"/>
    <col min="4" max="4" width="8.140625" bestFit="1" customWidth="1"/>
    <col min="5" max="5" width="7.42578125" bestFit="1" customWidth="1"/>
    <col min="6" max="6" width="8" bestFit="1" customWidth="1"/>
    <col min="7" max="7" width="8.5703125" style="17" bestFit="1" customWidth="1"/>
    <col min="8" max="8" width="12.85546875" style="17" bestFit="1" customWidth="1"/>
    <col min="9" max="9" width="13.7109375" style="17" bestFit="1" customWidth="1"/>
    <col min="10" max="10" width="9.85546875" style="17" bestFit="1" customWidth="1"/>
    <col min="11" max="11" width="8.7109375" style="17" bestFit="1" customWidth="1"/>
    <col min="12" max="12" width="15" style="17" bestFit="1" customWidth="1"/>
    <col min="13" max="13" width="13.85546875" style="17" bestFit="1" customWidth="1"/>
    <col min="14" max="14" width="17.140625" style="17" bestFit="1" customWidth="1"/>
    <col min="15" max="15" width="11.5703125" style="17" bestFit="1" customWidth="1"/>
    <col min="16" max="16" width="6.5703125" style="17" bestFit="1" customWidth="1"/>
    <col min="17" max="17" width="9.85546875" style="17" bestFit="1" customWidth="1"/>
    <col min="18" max="18" width="7.5703125" style="17" bestFit="1" customWidth="1"/>
    <col min="19" max="19" width="20.5703125" bestFit="1" customWidth="1"/>
    <col min="20" max="20" width="12.28515625" bestFit="1" customWidth="1"/>
    <col min="21" max="21" width="7" bestFit="1" customWidth="1"/>
    <col min="22" max="22" width="114.7109375" bestFit="1" customWidth="1"/>
    <col min="23" max="23" width="13.140625" style="17" customWidth="1"/>
    <col min="24" max="24" width="11.140625" hidden="1" customWidth="1"/>
    <col min="25" max="25" width="16.140625" hidden="1" customWidth="1"/>
    <col min="26" max="26" width="12" hidden="1" customWidth="1"/>
    <col min="27" max="27" width="19.5703125" hidden="1" customWidth="1"/>
    <col min="28" max="28" width="90.42578125" style="25" customWidth="1"/>
    <col min="29" max="29" width="16.140625" customWidth="1"/>
    <col min="30" max="30" width="43.42578125" bestFit="1" customWidth="1"/>
    <col min="31" max="31" width="12.28515625" bestFit="1" customWidth="1"/>
    <col min="32" max="32" width="25" bestFit="1" customWidth="1"/>
    <col min="33" max="33" width="112.14062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3" t="s">
        <v>21</v>
      </c>
      <c r="W1" s="4" t="s">
        <v>22</v>
      </c>
      <c r="X1" s="5" t="s">
        <v>23</v>
      </c>
      <c r="Y1" s="5" t="s">
        <v>24</v>
      </c>
      <c r="Z1" s="6" t="s">
        <v>25</v>
      </c>
      <c r="AA1" s="7" t="s">
        <v>26</v>
      </c>
      <c r="AB1" s="8" t="s">
        <v>150</v>
      </c>
      <c r="AC1" s="9"/>
    </row>
    <row r="2" spans="1:29" ht="90" x14ac:dyDescent="0.25">
      <c r="A2" s="10">
        <v>1</v>
      </c>
      <c r="B2" s="11" t="s">
        <v>27</v>
      </c>
      <c r="C2" s="11" t="s">
        <v>28</v>
      </c>
      <c r="D2" s="11">
        <v>-0.67700000000000005</v>
      </c>
      <c r="E2" s="11">
        <v>-0.31900000000000001</v>
      </c>
      <c r="F2" s="11">
        <v>-10.317</v>
      </c>
      <c r="G2" s="11">
        <v>20464</v>
      </c>
      <c r="H2" s="12">
        <v>0.38101055512118798</v>
      </c>
      <c r="I2" s="12">
        <v>0.67703301793158199</v>
      </c>
      <c r="J2" s="11">
        <v>7797</v>
      </c>
      <c r="K2" s="11">
        <v>12667</v>
      </c>
      <c r="L2" s="12">
        <v>0.56255411255411203</v>
      </c>
      <c r="M2" s="12">
        <v>0.77398264695099595</v>
      </c>
      <c r="N2" s="12"/>
      <c r="O2" s="13"/>
      <c r="P2" s="13">
        <v>6.7458837223060494E-2</v>
      </c>
      <c r="Q2" s="13">
        <v>0.21896281218254399</v>
      </c>
      <c r="R2" s="13">
        <v>21.998314088317699</v>
      </c>
      <c r="S2" s="14">
        <f>F2*I2</f>
        <v>-6.9849496460001319</v>
      </c>
      <c r="T2" s="14">
        <f>IF(F2&lt;VLOOKUP(B2,$AD$25:$AF$38,3,FALSE),ABS((F2-VLOOKUP(B2,$AD$25:$AF$38,3,FALSE))/VLOOKUP(B2,$AD$25:$AF$38,3,FALSE)),"")</f>
        <v>9.2570509206413689</v>
      </c>
      <c r="U2">
        <f>VLOOKUP(B2,$AD$25:$AF$38,2,FALSE)-F2</f>
        <v>40.855000000000004</v>
      </c>
      <c r="V2" s="15" t="s">
        <v>29</v>
      </c>
      <c r="W2" s="11" t="s">
        <v>30</v>
      </c>
      <c r="X2" s="16">
        <v>364.35</v>
      </c>
      <c r="Y2" s="10">
        <f>IF(U2="", "", ROUND(250 + (U2 - MIN($U$2:$U$62)) * (550 - 250) / (MAX($U$2:$U$62) - MIN($U$2:$U$62)), 2))</f>
        <v>431.81</v>
      </c>
      <c r="Z2" s="10" t="str">
        <f>IF(F2&gt;VLOOKUP(B2,$AD$25:$AF$38,3,FALSE),ABS((F2-VLOOKUP(B2,$AD$25:$AF$38,3,FALSE))/VLOOKUP(B2,$AD$25:$AF$38,3,FALSE)),"")</f>
        <v/>
      </c>
      <c r="AA2" s="11" t="str">
        <f>IF(Z2="","",ROUND(250+(Z2-MIN($Z$2:$Z$62))*(550-250)/(MAX($Z$2:$Z$62)-MIN($Z$2:$Z$62)),2))</f>
        <v/>
      </c>
      <c r="AB2" s="44" t="s">
        <v>160</v>
      </c>
      <c r="AC2" s="17"/>
    </row>
    <row r="3" spans="1:29" ht="18" x14ac:dyDescent="0.25">
      <c r="A3" s="18">
        <v>2</v>
      </c>
      <c r="B3" s="17" t="s">
        <v>27</v>
      </c>
      <c r="C3" s="17" t="s">
        <v>31</v>
      </c>
      <c r="D3" s="17">
        <v>-0.67700000000000005</v>
      </c>
      <c r="E3" s="17">
        <v>0.54200000000000004</v>
      </c>
      <c r="F3" s="17">
        <v>14.89</v>
      </c>
      <c r="G3" s="17">
        <v>6181</v>
      </c>
      <c r="H3" s="19">
        <v>0.59278433910370398</v>
      </c>
      <c r="I3" s="19">
        <v>0.204492820750347</v>
      </c>
      <c r="J3" s="17">
        <v>3664</v>
      </c>
      <c r="K3" s="17">
        <v>2517</v>
      </c>
      <c r="L3" s="19">
        <v>0.26435786435786401</v>
      </c>
      <c r="M3" s="19">
        <v>0.15379445191250099</v>
      </c>
      <c r="N3" s="19">
        <v>0.21177378398251601</v>
      </c>
      <c r="O3" s="20">
        <v>0.86074887283273704</v>
      </c>
      <c r="P3" s="20">
        <v>5.98907354461111E-2</v>
      </c>
      <c r="Q3" s="20">
        <v>0.21896281218254399</v>
      </c>
      <c r="R3" s="20">
        <v>21.998314088317699</v>
      </c>
      <c r="S3">
        <f t="shared" ref="S3:S62" si="0">F3*I3</f>
        <v>3.044898100972667</v>
      </c>
      <c r="T3" t="str">
        <f t="shared" ref="T3:T62" si="1">IF(F3&lt;VLOOKUP(B3,$AD$25:$AF$38,3,FALSE),ABS((F3-VLOOKUP(B3,$AD$25:$AF$38,3,FALSE))/VLOOKUP(B3,$AD$25:$AF$38,3,FALSE)),"")</f>
        <v/>
      </c>
      <c r="U3">
        <f t="shared" ref="U3:U62" si="2">VLOOKUP(B3,$AD$25:$AF$38,2,FALSE)-F3</f>
        <v>15.648</v>
      </c>
      <c r="X3" s="21"/>
      <c r="Y3" s="18">
        <f t="shared" ref="Y3:Y60" si="3">IF(U3="", "", ROUND(250 + (U3 - MIN($U$2:$U$62)) * (550 - 250) / (MAX($U$2:$U$62) - MIN($U$2:$U$62)), 2))</f>
        <v>319.63</v>
      </c>
      <c r="Z3" s="18">
        <f>IF(F3&gt;VLOOKUP(B3,$AD$25:$AF$38,3,FALSE),ABS((F3-VLOOKUP(B3,$AD$25:$AF$38,3,FALSE))/VLOOKUP(B3,$AD$25:$AF$38,3,FALSE)),"")</f>
        <v>15.80347855077542</v>
      </c>
      <c r="AA3" s="17">
        <f t="shared" ref="AA3:AA62" si="4">IF(Z3="","",ROUND(250+(Z3-MIN($Z$2:$Z$62))*(550-250)/(MAX($Z$2:$Z$62)-MIN($Z$2:$Z$62)),2))</f>
        <v>373.24</v>
      </c>
      <c r="AB3" s="45"/>
      <c r="AC3" s="17"/>
    </row>
    <row r="4" spans="1:29" ht="18" x14ac:dyDescent="0.25">
      <c r="A4" s="18">
        <v>3</v>
      </c>
      <c r="B4" s="17" t="s">
        <v>27</v>
      </c>
      <c r="C4" s="17" t="s">
        <v>32</v>
      </c>
      <c r="D4" s="17">
        <v>-0.67700000000000005</v>
      </c>
      <c r="E4" s="17">
        <v>0.73499999999999999</v>
      </c>
      <c r="F4" s="17">
        <v>20.548999999999999</v>
      </c>
      <c r="G4" s="17">
        <v>2069</v>
      </c>
      <c r="H4" s="19">
        <v>0.63847269212179802</v>
      </c>
      <c r="I4" s="19">
        <v>6.8451002448223303E-2</v>
      </c>
      <c r="J4" s="17">
        <v>1321</v>
      </c>
      <c r="K4" s="17">
        <v>747.99999999999898</v>
      </c>
      <c r="L4" s="19">
        <v>9.5310245310245303E-2</v>
      </c>
      <c r="M4" s="19">
        <v>4.57045093486496E-2</v>
      </c>
      <c r="N4" s="19">
        <v>4.5688353018093097E-2</v>
      </c>
      <c r="O4" s="20">
        <v>0.19325359588914301</v>
      </c>
      <c r="P4" s="20">
        <v>3.6457256696200903E-2</v>
      </c>
      <c r="Q4" s="20">
        <v>0.21896281218254399</v>
      </c>
      <c r="R4" s="20">
        <v>21.998314088317699</v>
      </c>
      <c r="S4">
        <f t="shared" si="0"/>
        <v>1.4065996493085406</v>
      </c>
      <c r="T4" t="str">
        <f t="shared" si="1"/>
        <v/>
      </c>
      <c r="U4">
        <f t="shared" si="2"/>
        <v>9.9890000000000008</v>
      </c>
      <c r="V4" s="22"/>
      <c r="X4" s="21"/>
      <c r="Y4" s="18">
        <f t="shared" si="3"/>
        <v>294.45</v>
      </c>
      <c r="Z4" s="23">
        <f t="shared" ref="Z4:Z62" si="5">IF(F4&gt;VLOOKUP(B4,$AD$25:$AF$38,3,FALSE),ABS((F4-VLOOKUP(B4,$AD$25:$AF$38,3,FALSE))/VLOOKUP(B4,$AD$25:$AF$38,3,FALSE)),"")</f>
        <v>21.429595751503296</v>
      </c>
      <c r="AA4" s="24">
        <f t="shared" si="4"/>
        <v>417.27</v>
      </c>
      <c r="AB4" s="46"/>
      <c r="AC4" s="17"/>
    </row>
    <row r="5" spans="1:29" ht="18" x14ac:dyDescent="0.25">
      <c r="A5" s="26">
        <v>4</v>
      </c>
      <c r="B5" s="27" t="s">
        <v>27</v>
      </c>
      <c r="C5" s="27" t="s">
        <v>33</v>
      </c>
      <c r="D5" s="27">
        <v>-0.67700000000000005</v>
      </c>
      <c r="E5" s="27">
        <v>1.0760000000000001</v>
      </c>
      <c r="F5" s="27">
        <v>30.538</v>
      </c>
      <c r="G5" s="27">
        <v>1512</v>
      </c>
      <c r="H5" s="28">
        <v>0.71296296296296202</v>
      </c>
      <c r="I5" s="28">
        <v>5.0023158869847102E-2</v>
      </c>
      <c r="J5" s="27">
        <v>1078</v>
      </c>
      <c r="K5" s="27">
        <v>434</v>
      </c>
      <c r="L5" s="28">
        <v>7.7777777777777696E-2</v>
      </c>
      <c r="M5" s="28">
        <v>2.6518391787852799E-2</v>
      </c>
      <c r="N5" s="28">
        <v>7.4490270841164802E-2</v>
      </c>
      <c r="O5" s="29">
        <v>0.34107689082068898</v>
      </c>
      <c r="P5" s="29">
        <v>5.5155982817171899E-2</v>
      </c>
      <c r="Q5" s="29">
        <v>0.21896281218254399</v>
      </c>
      <c r="R5" s="29">
        <v>21.998314088317699</v>
      </c>
      <c r="S5" s="30">
        <f t="shared" si="0"/>
        <v>1.5276072255673909</v>
      </c>
      <c r="T5" s="30" t="str">
        <f t="shared" si="1"/>
        <v/>
      </c>
      <c r="U5" s="30">
        <f t="shared" si="2"/>
        <v>0</v>
      </c>
      <c r="V5" s="22"/>
      <c r="W5" s="27"/>
      <c r="X5" s="31"/>
      <c r="Y5" s="26"/>
      <c r="Z5" s="32">
        <f t="shared" si="5"/>
        <v>31.360552584525166</v>
      </c>
      <c r="AA5" s="33">
        <f t="shared" si="4"/>
        <v>494.99</v>
      </c>
      <c r="AB5" s="47"/>
      <c r="AC5" s="17"/>
    </row>
    <row r="6" spans="1:29" ht="18" x14ac:dyDescent="0.25">
      <c r="A6" s="10">
        <v>1</v>
      </c>
      <c r="B6" s="11" t="s">
        <v>34</v>
      </c>
      <c r="C6" s="11" t="s">
        <v>35</v>
      </c>
      <c r="D6" s="11">
        <v>-0.44600000000000001</v>
      </c>
      <c r="E6" s="11">
        <v>1.31</v>
      </c>
      <c r="F6" s="11">
        <v>24.318999999999999</v>
      </c>
      <c r="G6" s="11">
        <v>13033</v>
      </c>
      <c r="H6" s="12">
        <v>0.75838256732908704</v>
      </c>
      <c r="I6" s="12">
        <v>0.43118507245417798</v>
      </c>
      <c r="J6" s="11">
        <v>9884</v>
      </c>
      <c r="K6" s="11">
        <v>3149</v>
      </c>
      <c r="L6" s="12">
        <v>0.71313131313131295</v>
      </c>
      <c r="M6" s="12">
        <v>0.19241109617499599</v>
      </c>
      <c r="N6" s="12"/>
      <c r="O6" s="13"/>
      <c r="P6" s="13">
        <v>0.68215981626438404</v>
      </c>
      <c r="Q6" s="13">
        <v>1.7054207847976901</v>
      </c>
      <c r="R6" s="13">
        <v>62.801038086385702</v>
      </c>
      <c r="S6" s="14">
        <f t="shared" si="0"/>
        <v>10.485989777013154</v>
      </c>
      <c r="T6" s="14" t="str">
        <f t="shared" si="1"/>
        <v/>
      </c>
      <c r="U6">
        <f t="shared" si="2"/>
        <v>0</v>
      </c>
      <c r="V6" s="15"/>
      <c r="W6" s="11"/>
      <c r="X6" s="16"/>
      <c r="Y6" s="10"/>
      <c r="Z6" s="23">
        <f t="shared" si="5"/>
        <v>6.7840205187579556</v>
      </c>
      <c r="AA6" s="24">
        <f t="shared" si="4"/>
        <v>302.64999999999998</v>
      </c>
      <c r="AB6" s="46"/>
      <c r="AC6" s="17"/>
    </row>
    <row r="7" spans="1:29" ht="144" x14ac:dyDescent="0.25">
      <c r="A7" s="18">
        <v>2</v>
      </c>
      <c r="B7" s="17" t="s">
        <v>34</v>
      </c>
      <c r="C7" s="17" t="s">
        <v>36</v>
      </c>
      <c r="D7" s="17">
        <v>-0.44600000000000001</v>
      </c>
      <c r="E7" s="17">
        <v>-0.111</v>
      </c>
      <c r="F7" s="17">
        <v>-3.1240000000000001</v>
      </c>
      <c r="G7" s="17">
        <v>5728</v>
      </c>
      <c r="H7" s="19">
        <v>0.43104050279329598</v>
      </c>
      <c r="I7" s="19">
        <v>0.18950572354926201</v>
      </c>
      <c r="J7" s="17">
        <v>2469</v>
      </c>
      <c r="K7" s="17">
        <v>3259</v>
      </c>
      <c r="L7" s="19">
        <v>0.17813852813852801</v>
      </c>
      <c r="M7" s="19">
        <v>0.199132347549798</v>
      </c>
      <c r="N7" s="19">
        <v>0.32734206453579101</v>
      </c>
      <c r="O7" s="20">
        <v>-1.4214395354998499</v>
      </c>
      <c r="P7" s="20">
        <v>2.3388830260409198E-3</v>
      </c>
      <c r="Q7" s="20">
        <v>1.7054207847976901</v>
      </c>
      <c r="R7" s="20">
        <v>62.801038086385702</v>
      </c>
      <c r="S7">
        <f t="shared" si="0"/>
        <v>-0.59201588036789454</v>
      </c>
      <c r="T7" t="str">
        <f t="shared" si="1"/>
        <v/>
      </c>
      <c r="U7">
        <f t="shared" si="2"/>
        <v>27.442999999999998</v>
      </c>
      <c r="V7" s="22" t="s">
        <v>37</v>
      </c>
      <c r="W7" s="17" t="s">
        <v>38</v>
      </c>
      <c r="X7" s="21">
        <v>240</v>
      </c>
      <c r="Y7" s="18">
        <f t="shared" si="3"/>
        <v>372.12</v>
      </c>
      <c r="Z7" s="18">
        <f t="shared" si="5"/>
        <v>0.25698918127390702</v>
      </c>
      <c r="AA7" s="17">
        <f t="shared" si="4"/>
        <v>251.57</v>
      </c>
      <c r="AB7" s="50" t="s">
        <v>159</v>
      </c>
      <c r="AC7" s="17"/>
    </row>
    <row r="8" spans="1:29" ht="108" x14ac:dyDescent="0.25">
      <c r="A8" s="18">
        <v>3</v>
      </c>
      <c r="B8" s="17" t="s">
        <v>34</v>
      </c>
      <c r="C8" s="17" t="s">
        <v>39</v>
      </c>
      <c r="D8" s="17">
        <v>-0.44600000000000001</v>
      </c>
      <c r="E8" s="17">
        <v>-0.63100000000000001</v>
      </c>
      <c r="F8" s="17">
        <v>-13.16</v>
      </c>
      <c r="G8" s="17">
        <v>2270</v>
      </c>
      <c r="H8" s="19">
        <v>0.31057268722466902</v>
      </c>
      <c r="I8" s="19">
        <v>7.5100906504334E-2</v>
      </c>
      <c r="J8" s="17">
        <v>705</v>
      </c>
      <c r="K8" s="17">
        <v>1564.99999999999</v>
      </c>
      <c r="L8" s="19">
        <v>5.0865800865800802E-2</v>
      </c>
      <c r="M8" s="19">
        <v>9.5625076377856499E-2</v>
      </c>
      <c r="N8" s="19">
        <v>0.120467815568626</v>
      </c>
      <c r="O8" s="20">
        <v>-0.519836110669602</v>
      </c>
      <c r="P8" s="20">
        <v>2.8254036725326202E-2</v>
      </c>
      <c r="Q8" s="20">
        <v>1.7054207847976901</v>
      </c>
      <c r="R8" s="20">
        <v>62.801038086385702</v>
      </c>
      <c r="S8">
        <f t="shared" si="0"/>
        <v>-0.98832792959703542</v>
      </c>
      <c r="T8">
        <f t="shared" si="1"/>
        <v>2.1299687498192648</v>
      </c>
      <c r="U8">
        <f t="shared" si="2"/>
        <v>37.478999999999999</v>
      </c>
      <c r="V8" s="22" t="s">
        <v>40</v>
      </c>
      <c r="W8" s="17" t="s">
        <v>41</v>
      </c>
      <c r="X8" s="21">
        <v>341</v>
      </c>
      <c r="Y8" s="18">
        <f t="shared" si="3"/>
        <v>416.78</v>
      </c>
      <c r="Z8" s="18" t="str">
        <f t="shared" si="5"/>
        <v/>
      </c>
      <c r="AA8" s="17" t="str">
        <f t="shared" si="4"/>
        <v/>
      </c>
      <c r="AB8" s="51" t="s">
        <v>157</v>
      </c>
      <c r="AC8" s="17"/>
    </row>
    <row r="9" spans="1:29" ht="126" x14ac:dyDescent="0.25">
      <c r="A9" s="26">
        <v>4</v>
      </c>
      <c r="B9" s="27" t="s">
        <v>34</v>
      </c>
      <c r="C9" s="27" t="s">
        <v>42</v>
      </c>
      <c r="D9" s="27">
        <v>-0.44600000000000001</v>
      </c>
      <c r="E9" s="27">
        <v>-2.1819999999999999</v>
      </c>
      <c r="F9" s="27">
        <v>-43.095999999999997</v>
      </c>
      <c r="G9" s="27">
        <v>9195</v>
      </c>
      <c r="H9" s="28">
        <v>8.7221315932571999E-2</v>
      </c>
      <c r="I9" s="28">
        <v>0.304208297492225</v>
      </c>
      <c r="J9" s="27">
        <v>802</v>
      </c>
      <c r="K9" s="27">
        <v>8393</v>
      </c>
      <c r="L9" s="28">
        <v>5.7864357864357799E-2</v>
      </c>
      <c r="M9" s="28">
        <v>0.51283147989734801</v>
      </c>
      <c r="N9" s="28">
        <v>0.22335137129209701</v>
      </c>
      <c r="O9" s="29">
        <v>-1.5506013960543199</v>
      </c>
      <c r="P9" s="29">
        <v>0.99266804878194304</v>
      </c>
      <c r="Q9" s="29">
        <v>1.7054207847976901</v>
      </c>
      <c r="R9" s="29">
        <v>62.801038086385702</v>
      </c>
      <c r="S9" s="30">
        <f t="shared" si="0"/>
        <v>-13.110160788724928</v>
      </c>
      <c r="T9" s="30">
        <f t="shared" si="1"/>
        <v>9.249934136946127</v>
      </c>
      <c r="U9" s="30">
        <f t="shared" si="2"/>
        <v>67.414999999999992</v>
      </c>
      <c r="V9" s="34" t="s">
        <v>43</v>
      </c>
      <c r="W9" s="27" t="s">
        <v>44</v>
      </c>
      <c r="X9" s="31">
        <v>364.26</v>
      </c>
      <c r="Y9" s="26">
        <f t="shared" si="3"/>
        <v>550</v>
      </c>
      <c r="Z9" s="26" t="str">
        <f t="shared" si="5"/>
        <v/>
      </c>
      <c r="AA9" s="27" t="str">
        <f t="shared" si="4"/>
        <v/>
      </c>
      <c r="AB9" s="49" t="s">
        <v>158</v>
      </c>
      <c r="AC9" s="17"/>
    </row>
    <row r="10" spans="1:29" ht="18" x14ac:dyDescent="0.25">
      <c r="A10" s="10">
        <v>1</v>
      </c>
      <c r="B10" s="11" t="s">
        <v>45</v>
      </c>
      <c r="C10" s="11" t="s">
        <v>46</v>
      </c>
      <c r="D10" s="11">
        <v>-0.40899999999999997</v>
      </c>
      <c r="E10" s="11">
        <v>0.63900000000000001</v>
      </c>
      <c r="F10" s="11">
        <v>10.345000000000001</v>
      </c>
      <c r="G10" s="11">
        <v>22005</v>
      </c>
      <c r="H10" s="12">
        <v>0.61599636446262196</v>
      </c>
      <c r="I10" s="12">
        <v>0.72801561569509698</v>
      </c>
      <c r="J10" s="11">
        <v>13555</v>
      </c>
      <c r="K10" s="11">
        <v>8449.9999999999909</v>
      </c>
      <c r="L10" s="12">
        <v>0.97799422799422797</v>
      </c>
      <c r="M10" s="12">
        <v>0.51631431015519902</v>
      </c>
      <c r="N10" s="12"/>
      <c r="O10" s="13"/>
      <c r="P10" s="13">
        <v>0.29491561902271601</v>
      </c>
      <c r="Q10" s="13">
        <v>1.7215668198092999</v>
      </c>
      <c r="R10" s="13">
        <v>46.167991783902799</v>
      </c>
      <c r="S10" s="14">
        <f t="shared" si="0"/>
        <v>7.5313215443657784</v>
      </c>
      <c r="T10" s="14" t="str">
        <f t="shared" si="1"/>
        <v/>
      </c>
      <c r="U10">
        <f t="shared" si="2"/>
        <v>0</v>
      </c>
      <c r="V10" s="15"/>
      <c r="W10" s="11"/>
      <c r="X10" s="16"/>
      <c r="Y10" s="10"/>
      <c r="Z10" s="23">
        <f t="shared" si="5"/>
        <v>2.3567682357913888</v>
      </c>
      <c r="AA10" s="24">
        <f t="shared" si="4"/>
        <v>268</v>
      </c>
      <c r="AB10" s="46"/>
      <c r="AC10" s="17"/>
    </row>
    <row r="11" spans="1:29" ht="126" x14ac:dyDescent="0.25">
      <c r="A11" s="26">
        <v>2</v>
      </c>
      <c r="B11" s="27" t="s">
        <v>45</v>
      </c>
      <c r="C11" s="27" t="s">
        <v>47</v>
      </c>
      <c r="D11" s="27">
        <v>-0.40899999999999997</v>
      </c>
      <c r="E11" s="27">
        <v>-3.09</v>
      </c>
      <c r="F11" s="27">
        <v>-55.723999999999997</v>
      </c>
      <c r="G11" s="27">
        <v>8221</v>
      </c>
      <c r="H11" s="28">
        <v>3.71001094757328E-2</v>
      </c>
      <c r="I11" s="28">
        <v>0.27198438430490302</v>
      </c>
      <c r="J11" s="27">
        <v>305</v>
      </c>
      <c r="K11" s="27">
        <v>7916</v>
      </c>
      <c r="L11" s="28">
        <v>2.2005772005772001E-2</v>
      </c>
      <c r="M11" s="28">
        <v>0.48368568984479998</v>
      </c>
      <c r="N11" s="28">
        <v>0.57889625498688901</v>
      </c>
      <c r="O11" s="29">
        <v>-3.7289185716965898</v>
      </c>
      <c r="P11" s="29">
        <v>1.4266512007865899</v>
      </c>
      <c r="Q11" s="29">
        <v>1.7215668198092999</v>
      </c>
      <c r="R11" s="29">
        <v>46.167991783902799</v>
      </c>
      <c r="S11" s="30">
        <f t="shared" si="0"/>
        <v>-15.156057831006414</v>
      </c>
      <c r="T11" s="30">
        <f t="shared" si="1"/>
        <v>6.3083183345808935</v>
      </c>
      <c r="U11" s="30">
        <f t="shared" si="2"/>
        <v>66.069000000000003</v>
      </c>
      <c r="V11" s="35" t="s">
        <v>48</v>
      </c>
      <c r="W11" s="27" t="s">
        <v>49</v>
      </c>
      <c r="X11" s="31">
        <v>540</v>
      </c>
      <c r="Y11" s="26">
        <f t="shared" si="3"/>
        <v>544.01</v>
      </c>
      <c r="Z11" s="26" t="str">
        <f t="shared" si="5"/>
        <v/>
      </c>
      <c r="AA11" s="27" t="str">
        <f t="shared" si="4"/>
        <v/>
      </c>
      <c r="AB11" s="48" t="s">
        <v>161</v>
      </c>
      <c r="AC11" s="17"/>
    </row>
    <row r="12" spans="1:29" ht="18" x14ac:dyDescent="0.25">
      <c r="A12" s="10">
        <v>1</v>
      </c>
      <c r="B12" s="11" t="s">
        <v>50</v>
      </c>
      <c r="C12" s="11" t="s">
        <v>35</v>
      </c>
      <c r="D12" s="11">
        <v>-0.40699999999999997</v>
      </c>
      <c r="E12" s="11">
        <v>1.605</v>
      </c>
      <c r="F12" s="11">
        <v>27.288</v>
      </c>
      <c r="G12" s="11">
        <v>10413</v>
      </c>
      <c r="H12" s="12">
        <v>0.80822049361375203</v>
      </c>
      <c r="I12" s="12">
        <v>0.344504731026268</v>
      </c>
      <c r="J12" s="11">
        <v>8416</v>
      </c>
      <c r="K12" s="11">
        <v>1997</v>
      </c>
      <c r="L12" s="12">
        <v>0.60721500721500699</v>
      </c>
      <c r="M12" s="12">
        <v>0.122021263595258</v>
      </c>
      <c r="N12" s="12"/>
      <c r="O12" s="13"/>
      <c r="P12" s="13">
        <v>0.77858439364202403</v>
      </c>
      <c r="Q12" s="13">
        <v>1.22518019265069</v>
      </c>
      <c r="R12" s="13">
        <v>53.078770456260301</v>
      </c>
      <c r="S12" s="14">
        <f t="shared" si="0"/>
        <v>9.4008451002448012</v>
      </c>
      <c r="T12" s="14" t="str">
        <f t="shared" si="1"/>
        <v/>
      </c>
      <c r="U12">
        <f t="shared" si="2"/>
        <v>0</v>
      </c>
      <c r="V12" s="15"/>
      <c r="W12" s="11"/>
      <c r="X12" s="16"/>
      <c r="Y12" s="10"/>
      <c r="Z12" s="23">
        <f t="shared" si="5"/>
        <v>38.39021480919893</v>
      </c>
      <c r="AA12" s="24">
        <f t="shared" si="4"/>
        <v>550</v>
      </c>
      <c r="AB12" s="46"/>
      <c r="AC12" s="17"/>
    </row>
    <row r="13" spans="1:29" ht="90" x14ac:dyDescent="0.25">
      <c r="A13" s="18">
        <v>2</v>
      </c>
      <c r="B13" s="17" t="s">
        <v>50</v>
      </c>
      <c r="C13" s="17" t="s">
        <v>51</v>
      </c>
      <c r="D13" s="17">
        <v>-0.40699999999999997</v>
      </c>
      <c r="E13" s="17">
        <v>-0.30099999999999999</v>
      </c>
      <c r="F13" s="17">
        <v>-6.2750000000000004</v>
      </c>
      <c r="G13" s="17">
        <v>4724</v>
      </c>
      <c r="H13" s="19">
        <v>0.38526672311600302</v>
      </c>
      <c r="I13" s="19">
        <v>0.15628928736848999</v>
      </c>
      <c r="J13" s="17">
        <v>1820</v>
      </c>
      <c r="K13" s="17">
        <v>2904</v>
      </c>
      <c r="L13" s="19">
        <v>0.13131313131313099</v>
      </c>
      <c r="M13" s="19">
        <v>0.17744103629475699</v>
      </c>
      <c r="N13" s="19">
        <v>0.42295377049774802</v>
      </c>
      <c r="O13" s="20">
        <v>-1.9057411974355201</v>
      </c>
      <c r="P13" s="20">
        <v>1.38869708187014E-2</v>
      </c>
      <c r="Q13" s="20">
        <v>1.22518019265069</v>
      </c>
      <c r="R13" s="20">
        <v>53.078770456260301</v>
      </c>
      <c r="S13">
        <f t="shared" si="0"/>
        <v>-0.98071527823727478</v>
      </c>
      <c r="T13">
        <f t="shared" si="1"/>
        <v>7.5980503491543265</v>
      </c>
      <c r="U13">
        <f t="shared" si="2"/>
        <v>33.563000000000002</v>
      </c>
      <c r="V13" s="22" t="s">
        <v>52</v>
      </c>
      <c r="W13" s="17" t="s">
        <v>53</v>
      </c>
      <c r="X13" s="21">
        <v>343.62</v>
      </c>
      <c r="Y13" s="18">
        <f t="shared" si="3"/>
        <v>399.36</v>
      </c>
      <c r="Z13" s="18" t="str">
        <f t="shared" si="5"/>
        <v/>
      </c>
      <c r="AA13" s="17" t="str">
        <f t="shared" si="4"/>
        <v/>
      </c>
      <c r="AB13" s="45" t="s">
        <v>151</v>
      </c>
      <c r="AC13" s="17"/>
    </row>
    <row r="14" spans="1:29" ht="108" x14ac:dyDescent="0.25">
      <c r="A14" s="26">
        <v>3</v>
      </c>
      <c r="B14" s="27" t="s">
        <v>50</v>
      </c>
      <c r="C14" s="27" t="s">
        <v>54</v>
      </c>
      <c r="D14" s="27">
        <v>-0.40699999999999997</v>
      </c>
      <c r="E14" s="27">
        <v>-0.98599999999999999</v>
      </c>
      <c r="F14" s="27">
        <v>-18.329000000000001</v>
      </c>
      <c r="G14" s="27">
        <v>15089</v>
      </c>
      <c r="H14" s="28">
        <v>0.24017496189276899</v>
      </c>
      <c r="I14" s="28">
        <v>0.49920598160523999</v>
      </c>
      <c r="J14" s="27">
        <v>3624</v>
      </c>
      <c r="K14" s="27">
        <v>11465</v>
      </c>
      <c r="L14" s="28">
        <v>0.26147186147186102</v>
      </c>
      <c r="M14" s="28">
        <v>0.70053770010998395</v>
      </c>
      <c r="N14" s="28">
        <v>0.145091761223233</v>
      </c>
      <c r="O14" s="29">
        <v>-0.68446793225528901</v>
      </c>
      <c r="P14" s="29">
        <v>0.43270882818996798</v>
      </c>
      <c r="Q14" s="29">
        <v>1.22518019265069</v>
      </c>
      <c r="R14" s="29">
        <v>53.078770456260301</v>
      </c>
      <c r="S14" s="30">
        <f t="shared" si="0"/>
        <v>-9.1499464368424448</v>
      </c>
      <c r="T14" s="30">
        <f t="shared" si="1"/>
        <v>24.114528262892378</v>
      </c>
      <c r="U14" s="30">
        <f t="shared" si="2"/>
        <v>45.617000000000004</v>
      </c>
      <c r="V14" s="34" t="s">
        <v>55</v>
      </c>
      <c r="W14" s="27" t="s">
        <v>56</v>
      </c>
      <c r="X14" s="31">
        <v>550</v>
      </c>
      <c r="Y14" s="26">
        <f t="shared" si="3"/>
        <v>453</v>
      </c>
      <c r="Z14" s="26" t="str">
        <f t="shared" si="5"/>
        <v/>
      </c>
      <c r="AA14" s="27" t="str">
        <f t="shared" si="4"/>
        <v/>
      </c>
      <c r="AB14" s="48" t="s">
        <v>152</v>
      </c>
      <c r="AC14" s="17"/>
    </row>
    <row r="15" spans="1:29" ht="18" x14ac:dyDescent="0.25">
      <c r="A15" s="10">
        <v>1</v>
      </c>
      <c r="B15" s="11" t="s">
        <v>57</v>
      </c>
      <c r="C15" s="11" t="s">
        <v>58</v>
      </c>
      <c r="D15" s="11">
        <v>-0.372</v>
      </c>
      <c r="E15" s="11">
        <v>1.61</v>
      </c>
      <c r="F15" s="11">
        <v>24.914999999999999</v>
      </c>
      <c r="G15" s="11">
        <v>10190</v>
      </c>
      <c r="H15" s="12">
        <v>0.80902845927379696</v>
      </c>
      <c r="I15" s="12">
        <v>0.33712697677496101</v>
      </c>
      <c r="J15" s="11">
        <v>8244</v>
      </c>
      <c r="K15" s="11">
        <v>1946</v>
      </c>
      <c r="L15" s="12">
        <v>0.594805194805194</v>
      </c>
      <c r="M15" s="12">
        <v>0.118905047048759</v>
      </c>
      <c r="N15" s="12"/>
      <c r="O15" s="13"/>
      <c r="P15" s="13">
        <v>0.76615578706593701</v>
      </c>
      <c r="Q15" s="13">
        <v>1.2785382769898099</v>
      </c>
      <c r="R15" s="13">
        <v>56.440227152374199</v>
      </c>
      <c r="S15" s="14">
        <f t="shared" si="0"/>
        <v>8.3995186263481525</v>
      </c>
      <c r="T15" s="14" t="str">
        <f t="shared" si="1"/>
        <v/>
      </c>
      <c r="U15">
        <f t="shared" si="2"/>
        <v>0</v>
      </c>
      <c r="V15" s="15"/>
      <c r="W15" s="11"/>
      <c r="X15" s="16"/>
      <c r="Y15" s="10"/>
      <c r="Z15" s="23">
        <f t="shared" si="5"/>
        <v>24.052040351986854</v>
      </c>
      <c r="AA15" s="24">
        <f t="shared" si="4"/>
        <v>437.79</v>
      </c>
      <c r="AB15" s="46"/>
      <c r="AC15" s="17"/>
    </row>
    <row r="16" spans="1:29" ht="108" x14ac:dyDescent="0.25">
      <c r="A16" s="18">
        <v>2</v>
      </c>
      <c r="B16" s="17" t="s">
        <v>57</v>
      </c>
      <c r="C16" s="17" t="s">
        <v>59</v>
      </c>
      <c r="D16" s="17">
        <v>-0.372</v>
      </c>
      <c r="E16" s="17">
        <v>-0.23899999999999999</v>
      </c>
      <c r="F16" s="17">
        <v>-4.8129999999999997</v>
      </c>
      <c r="G16" s="17">
        <v>1757</v>
      </c>
      <c r="H16" s="19">
        <v>0.40011383039271398</v>
      </c>
      <c r="I16" s="19">
        <v>5.8128763316350099E-2</v>
      </c>
      <c r="J16" s="17">
        <v>703</v>
      </c>
      <c r="K16" s="17">
        <v>1054</v>
      </c>
      <c r="L16" s="19">
        <v>5.0721500721500702E-2</v>
      </c>
      <c r="M16" s="19">
        <v>6.4401808627642596E-2</v>
      </c>
      <c r="N16" s="19">
        <v>0.40891462888108299</v>
      </c>
      <c r="O16" s="20">
        <v>-1.8487005165550401</v>
      </c>
      <c r="P16" s="20">
        <v>3.26674560866553E-3</v>
      </c>
      <c r="Q16" s="20">
        <v>1.2785382769898099</v>
      </c>
      <c r="R16" s="20">
        <v>56.440227152374199</v>
      </c>
      <c r="S16">
        <f t="shared" si="0"/>
        <v>-0.27977373784159298</v>
      </c>
      <c r="T16">
        <f t="shared" si="1"/>
        <v>3.4531194145740609</v>
      </c>
      <c r="U16">
        <f t="shared" si="2"/>
        <v>29.727999999999998</v>
      </c>
      <c r="V16" s="22" t="s">
        <v>60</v>
      </c>
      <c r="W16" s="17" t="s">
        <v>61</v>
      </c>
      <c r="X16" s="21">
        <v>291.83</v>
      </c>
      <c r="Y16" s="18">
        <f t="shared" si="3"/>
        <v>382.29</v>
      </c>
      <c r="Z16" s="18" t="str">
        <f t="shared" si="5"/>
        <v/>
      </c>
      <c r="AA16" s="17" t="str">
        <f t="shared" si="4"/>
        <v/>
      </c>
      <c r="AB16" s="45" t="s">
        <v>162</v>
      </c>
      <c r="AC16" s="17"/>
    </row>
    <row r="17" spans="1:33" ht="90" x14ac:dyDescent="0.25">
      <c r="A17" s="18">
        <v>3</v>
      </c>
      <c r="B17" s="17" t="s">
        <v>57</v>
      </c>
      <c r="C17" s="17" t="s">
        <v>51</v>
      </c>
      <c r="D17" s="17">
        <v>-0.372</v>
      </c>
      <c r="E17" s="17">
        <v>-0.83</v>
      </c>
      <c r="F17" s="17">
        <v>-14.315</v>
      </c>
      <c r="G17" s="17">
        <v>3203</v>
      </c>
      <c r="H17" s="19">
        <v>0.26974711208242202</v>
      </c>
      <c r="I17" s="19">
        <v>0.105968371600608</v>
      </c>
      <c r="J17" s="17">
        <v>864</v>
      </c>
      <c r="K17" s="17">
        <v>2339</v>
      </c>
      <c r="L17" s="19">
        <v>6.2337662337662303E-2</v>
      </c>
      <c r="M17" s="19">
        <v>0.14291824514236801</v>
      </c>
      <c r="N17" s="19">
        <v>0.13036671831029201</v>
      </c>
      <c r="O17" s="20">
        <v>-0.59091516048948001</v>
      </c>
      <c r="P17" s="20">
        <v>6.68582719601407E-2</v>
      </c>
      <c r="Q17" s="20">
        <v>1.2785382769898099</v>
      </c>
      <c r="R17" s="20">
        <v>56.440227152374199</v>
      </c>
      <c r="S17">
        <f t="shared" si="0"/>
        <v>-1.5169372394627034</v>
      </c>
      <c r="T17">
        <f t="shared" si="1"/>
        <v>12.244630047709887</v>
      </c>
      <c r="U17">
        <f t="shared" si="2"/>
        <v>39.229999999999997</v>
      </c>
      <c r="V17" s="22" t="s">
        <v>62</v>
      </c>
      <c r="W17" s="17" t="s">
        <v>63</v>
      </c>
      <c r="X17" s="21">
        <v>340</v>
      </c>
      <c r="Y17" s="18">
        <f t="shared" si="3"/>
        <v>424.58</v>
      </c>
      <c r="Z17" s="18" t="str">
        <f t="shared" si="5"/>
        <v/>
      </c>
      <c r="AA17" s="17" t="str">
        <f t="shared" si="4"/>
        <v/>
      </c>
      <c r="AB17" s="45" t="s">
        <v>163</v>
      </c>
      <c r="AC17" s="17"/>
    </row>
    <row r="18" spans="1:33" ht="90" x14ac:dyDescent="0.25">
      <c r="A18" s="18">
        <v>4</v>
      </c>
      <c r="B18" s="17" t="s">
        <v>57</v>
      </c>
      <c r="C18" s="17" t="s">
        <v>64</v>
      </c>
      <c r="D18" s="17">
        <v>-0.372</v>
      </c>
      <c r="E18" s="17">
        <v>-1.357</v>
      </c>
      <c r="F18" s="17">
        <v>-22.794</v>
      </c>
      <c r="G18" s="17">
        <v>3866</v>
      </c>
      <c r="H18" s="19">
        <v>0.17899637868598001</v>
      </c>
      <c r="I18" s="19">
        <v>0.12790312975583901</v>
      </c>
      <c r="J18" s="17">
        <v>692</v>
      </c>
      <c r="K18" s="17">
        <v>3174</v>
      </c>
      <c r="L18" s="19">
        <v>4.9927849927849897E-2</v>
      </c>
      <c r="M18" s="19">
        <v>0.19393865330563301</v>
      </c>
      <c r="N18" s="19">
        <v>9.0750733396442407E-2</v>
      </c>
      <c r="O18" s="20">
        <v>-0.52725594768856099</v>
      </c>
      <c r="P18" s="20">
        <v>0.19541732128917599</v>
      </c>
      <c r="Q18" s="20">
        <v>1.2785382769898099</v>
      </c>
      <c r="R18" s="20">
        <v>56.440227152374199</v>
      </c>
      <c r="S18">
        <f t="shared" si="0"/>
        <v>-2.9154239396545942</v>
      </c>
      <c r="T18">
        <f t="shared" si="1"/>
        <v>20.089633063744262</v>
      </c>
      <c r="U18">
        <f t="shared" si="2"/>
        <v>47.709000000000003</v>
      </c>
      <c r="V18" s="22" t="s">
        <v>65</v>
      </c>
      <c r="W18" s="17" t="s">
        <v>66</v>
      </c>
      <c r="X18" s="21">
        <v>350</v>
      </c>
      <c r="Y18" s="18">
        <f t="shared" si="3"/>
        <v>462.31</v>
      </c>
      <c r="Z18" s="18" t="str">
        <f t="shared" si="5"/>
        <v/>
      </c>
      <c r="AA18" s="17" t="str">
        <f t="shared" si="4"/>
        <v/>
      </c>
      <c r="AB18" s="45" t="s">
        <v>164</v>
      </c>
      <c r="AC18" s="17"/>
    </row>
    <row r="19" spans="1:33" ht="72" x14ac:dyDescent="0.25">
      <c r="A19" s="18">
        <v>5</v>
      </c>
      <c r="B19" s="17" t="s">
        <v>57</v>
      </c>
      <c r="C19" s="17" t="s">
        <v>67</v>
      </c>
      <c r="D19" s="17">
        <v>-0.372</v>
      </c>
      <c r="E19" s="17">
        <v>-1.494</v>
      </c>
      <c r="F19" s="17">
        <v>-24.99</v>
      </c>
      <c r="G19" s="17">
        <v>3492</v>
      </c>
      <c r="H19" s="19">
        <v>0.15979381443298901</v>
      </c>
      <c r="I19" s="19">
        <v>0.115529676437504</v>
      </c>
      <c r="J19" s="17">
        <v>558</v>
      </c>
      <c r="K19" s="17">
        <v>2934</v>
      </c>
      <c r="L19" s="19">
        <v>4.0259740259740197E-2</v>
      </c>
      <c r="M19" s="19">
        <v>0.17927410485152101</v>
      </c>
      <c r="N19" s="19">
        <v>1.9202564252990599E-2</v>
      </c>
      <c r="O19" s="20">
        <v>-0.13660105085293101</v>
      </c>
      <c r="P19" s="20">
        <v>0.20762684737581</v>
      </c>
      <c r="Q19" s="20">
        <v>1.2785382769898099</v>
      </c>
      <c r="R19" s="20">
        <v>56.440227152374199</v>
      </c>
      <c r="S19">
        <f t="shared" si="0"/>
        <v>-2.8870866141732248</v>
      </c>
      <c r="T19">
        <f t="shared" si="1"/>
        <v>22.121432406026546</v>
      </c>
      <c r="U19">
        <f t="shared" si="2"/>
        <v>49.905000000000001</v>
      </c>
      <c r="V19" s="22" t="s">
        <v>68</v>
      </c>
      <c r="W19" s="17" t="s">
        <v>69</v>
      </c>
      <c r="X19" s="21">
        <v>525.1</v>
      </c>
      <c r="Y19" s="18">
        <f t="shared" si="3"/>
        <v>472.08</v>
      </c>
      <c r="Z19" s="18" t="str">
        <f t="shared" si="5"/>
        <v/>
      </c>
      <c r="AA19" s="17" t="str">
        <f t="shared" si="4"/>
        <v/>
      </c>
      <c r="AB19" s="51" t="s">
        <v>165</v>
      </c>
      <c r="AC19" s="17"/>
    </row>
    <row r="20" spans="1:33" ht="18" x14ac:dyDescent="0.25">
      <c r="A20" s="26">
        <v>6</v>
      </c>
      <c r="B20" s="27" t="s">
        <v>57</v>
      </c>
      <c r="C20" s="27" t="s">
        <v>70</v>
      </c>
      <c r="D20" s="27">
        <v>-0.372</v>
      </c>
      <c r="E20" s="27">
        <v>-0.39800000000000002</v>
      </c>
      <c r="F20" s="27">
        <v>-7.367</v>
      </c>
      <c r="G20" s="27">
        <v>7718</v>
      </c>
      <c r="H20" s="28">
        <v>0.36265871987561499</v>
      </c>
      <c r="I20" s="28">
        <v>0.255343082114735</v>
      </c>
      <c r="J20" s="27">
        <v>2799</v>
      </c>
      <c r="K20" s="27">
        <v>4919</v>
      </c>
      <c r="L20" s="28">
        <v>0.20194805194805099</v>
      </c>
      <c r="M20" s="28">
        <v>0.30056214102407403</v>
      </c>
      <c r="N20" s="28">
        <v>0.202864905442625</v>
      </c>
      <c r="O20" s="29">
        <v>1.09591994904173</v>
      </c>
      <c r="P20" s="29">
        <v>3.9213303690087797E-2</v>
      </c>
      <c r="Q20" s="29">
        <v>1.2785382769898099</v>
      </c>
      <c r="R20" s="29">
        <v>56.440227152374199</v>
      </c>
      <c r="S20" s="30">
        <f t="shared" si="0"/>
        <v>-1.8811124859392527</v>
      </c>
      <c r="T20" s="30">
        <f t="shared" si="1"/>
        <v>5.8161501614724926</v>
      </c>
      <c r="U20" s="30">
        <f t="shared" si="2"/>
        <v>32.281999999999996</v>
      </c>
      <c r="V20" s="22"/>
      <c r="X20" s="31"/>
      <c r="Y20" s="26"/>
      <c r="Z20" s="26" t="str">
        <f t="shared" si="5"/>
        <v/>
      </c>
      <c r="AA20" s="27" t="str">
        <f t="shared" si="4"/>
        <v/>
      </c>
      <c r="AB20" s="48"/>
      <c r="AC20" s="17"/>
    </row>
    <row r="21" spans="1:33" ht="108" x14ac:dyDescent="0.25">
      <c r="A21" s="10">
        <v>1</v>
      </c>
      <c r="B21" s="11" t="s">
        <v>71</v>
      </c>
      <c r="C21" s="11" t="s">
        <v>72</v>
      </c>
      <c r="D21" s="11">
        <v>-0.30299999999999999</v>
      </c>
      <c r="E21" s="11">
        <v>-1.5980000000000001</v>
      </c>
      <c r="F21" s="11">
        <v>-21.917000000000002</v>
      </c>
      <c r="G21" s="11">
        <v>6135</v>
      </c>
      <c r="H21" s="12">
        <v>0.14621026894865499</v>
      </c>
      <c r="I21" s="12">
        <v>0.20297095216039099</v>
      </c>
      <c r="J21" s="11">
        <v>897</v>
      </c>
      <c r="K21" s="11">
        <v>5238</v>
      </c>
      <c r="L21" s="12">
        <v>6.4718614718614703E-2</v>
      </c>
      <c r="M21" s="12">
        <v>0.320053770010998</v>
      </c>
      <c r="N21" s="12"/>
      <c r="O21" s="13"/>
      <c r="P21" s="13">
        <v>0.40813796256372697</v>
      </c>
      <c r="Q21" s="13">
        <v>0.49675443494027799</v>
      </c>
      <c r="R21" s="13">
        <v>27.345566839639901</v>
      </c>
      <c r="S21" s="14">
        <f t="shared" si="0"/>
        <v>-4.4485143584992892</v>
      </c>
      <c r="T21" s="14">
        <f t="shared" si="1"/>
        <v>10.594019387221213</v>
      </c>
      <c r="U21">
        <f t="shared" si="2"/>
        <v>28.651000000000003</v>
      </c>
      <c r="V21" s="14" t="s">
        <v>73</v>
      </c>
      <c r="W21" s="11" t="s">
        <v>74</v>
      </c>
      <c r="X21" s="16">
        <v>381.06</v>
      </c>
      <c r="Y21" s="10">
        <f t="shared" si="3"/>
        <v>377.5</v>
      </c>
      <c r="Z21" s="18" t="str">
        <f t="shared" si="5"/>
        <v/>
      </c>
      <c r="AA21" s="17" t="str">
        <f t="shared" si="4"/>
        <v/>
      </c>
      <c r="AB21" s="45" t="s">
        <v>75</v>
      </c>
      <c r="AC21" s="17"/>
    </row>
    <row r="22" spans="1:33" ht="90" x14ac:dyDescent="0.25">
      <c r="A22" s="18">
        <v>2</v>
      </c>
      <c r="B22" s="17" t="s">
        <v>71</v>
      </c>
      <c r="C22" s="17" t="s">
        <v>76</v>
      </c>
      <c r="D22" s="17">
        <v>-0.30299999999999999</v>
      </c>
      <c r="E22" s="17">
        <v>-4.1000000000000002E-2</v>
      </c>
      <c r="F22" s="17">
        <v>-1.5089999999999999</v>
      </c>
      <c r="G22" s="17">
        <v>533</v>
      </c>
      <c r="H22" s="19">
        <v>0.448405253283302</v>
      </c>
      <c r="I22" s="19">
        <v>1.7633825183616701E-2</v>
      </c>
      <c r="J22" s="17">
        <v>239</v>
      </c>
      <c r="K22" s="17">
        <v>294</v>
      </c>
      <c r="L22" s="19">
        <v>1.72438672438672E-2</v>
      </c>
      <c r="M22" s="19">
        <v>1.79640718562874E-2</v>
      </c>
      <c r="N22" s="19">
        <v>0.30219498433464598</v>
      </c>
      <c r="O22" s="20">
        <v>1.5575229476016801</v>
      </c>
      <c r="P22" s="20">
        <v>2.94687540526095E-5</v>
      </c>
      <c r="Q22" s="20">
        <v>0.49675443494027799</v>
      </c>
      <c r="R22" s="20">
        <v>27.345566839639901</v>
      </c>
      <c r="S22">
        <f t="shared" si="0"/>
        <v>-2.6609442202077598E-2</v>
      </c>
      <c r="T22" t="str">
        <f t="shared" si="1"/>
        <v/>
      </c>
      <c r="U22">
        <f t="shared" si="2"/>
        <v>8.2430000000000003</v>
      </c>
      <c r="V22" s="22" t="s">
        <v>77</v>
      </c>
      <c r="W22" s="17" t="s">
        <v>78</v>
      </c>
      <c r="X22" s="21">
        <v>230</v>
      </c>
      <c r="Y22" s="18">
        <f t="shared" si="3"/>
        <v>286.68</v>
      </c>
      <c r="Z22" s="18">
        <f t="shared" si="5"/>
        <v>0.20174406828868879</v>
      </c>
      <c r="AA22" s="17">
        <f t="shared" si="4"/>
        <v>251.14</v>
      </c>
      <c r="AB22" s="51" t="s">
        <v>166</v>
      </c>
      <c r="AC22" s="17"/>
    </row>
    <row r="23" spans="1:33" ht="18" x14ac:dyDescent="0.25">
      <c r="A23" s="18">
        <v>3</v>
      </c>
      <c r="B23" s="17" t="s">
        <v>71</v>
      </c>
      <c r="C23" s="17" t="s">
        <v>79</v>
      </c>
      <c r="D23" s="17">
        <v>-0.30299999999999999</v>
      </c>
      <c r="E23" s="17">
        <v>0.58799999999999997</v>
      </c>
      <c r="F23" s="17">
        <v>6.734</v>
      </c>
      <c r="G23" s="17">
        <v>1967</v>
      </c>
      <c r="H23" s="19">
        <v>0.60396542958820498</v>
      </c>
      <c r="I23" s="19">
        <v>6.5076424270495606E-2</v>
      </c>
      <c r="J23" s="17">
        <v>1188</v>
      </c>
      <c r="K23" s="17">
        <v>778.99999999999898</v>
      </c>
      <c r="L23" s="19">
        <v>8.5714285714285701E-2</v>
      </c>
      <c r="M23" s="19">
        <v>4.7598680190639099E-2</v>
      </c>
      <c r="N23" s="19">
        <v>0.15556017630490299</v>
      </c>
      <c r="O23" s="20">
        <v>0.629131669459012</v>
      </c>
      <c r="P23" s="20">
        <v>2.2420150793118199E-2</v>
      </c>
      <c r="Q23" s="20">
        <v>0.49675443494027799</v>
      </c>
      <c r="R23" s="20">
        <v>27.345566839639901</v>
      </c>
      <c r="S23">
        <f t="shared" si="0"/>
        <v>0.4382246410375174</v>
      </c>
      <c r="T23" t="str">
        <f t="shared" si="1"/>
        <v/>
      </c>
      <c r="U23">
        <f t="shared" si="2"/>
        <v>0</v>
      </c>
      <c r="V23" s="22"/>
      <c r="X23" s="21"/>
      <c r="Y23" s="18"/>
      <c r="Z23" s="23">
        <f t="shared" si="5"/>
        <v>4.5622633824678402</v>
      </c>
      <c r="AA23" s="24">
        <f t="shared" si="4"/>
        <v>285.26</v>
      </c>
      <c r="AB23" s="46"/>
      <c r="AC23" s="17"/>
    </row>
    <row r="24" spans="1:33" ht="18" x14ac:dyDescent="0.25">
      <c r="A24" s="26">
        <v>4</v>
      </c>
      <c r="B24" s="27" t="s">
        <v>71</v>
      </c>
      <c r="C24" s="27" t="s">
        <v>70</v>
      </c>
      <c r="D24" s="27">
        <v>-0.30299999999999999</v>
      </c>
      <c r="E24" s="27">
        <v>0.30399999999999999</v>
      </c>
      <c r="F24" s="27">
        <v>3.0049999999999999</v>
      </c>
      <c r="G24" s="27">
        <v>21591</v>
      </c>
      <c r="H24" s="28">
        <v>0.53429669769811405</v>
      </c>
      <c r="I24" s="28">
        <v>0.71431879838549595</v>
      </c>
      <c r="J24" s="27">
        <v>11536</v>
      </c>
      <c r="K24" s="27">
        <v>10055</v>
      </c>
      <c r="L24" s="28">
        <v>0.83232323232323202</v>
      </c>
      <c r="M24" s="28">
        <v>0.61438347794207504</v>
      </c>
      <c r="N24" s="28">
        <v>6.9668731890090402E-2</v>
      </c>
      <c r="O24" s="29">
        <v>-0.28461289673386397</v>
      </c>
      <c r="P24" s="29">
        <v>6.6166852829380202E-2</v>
      </c>
      <c r="Q24" s="29">
        <v>0.49675443494027799</v>
      </c>
      <c r="R24" s="29">
        <v>27.345566839639901</v>
      </c>
      <c r="S24" s="30">
        <f t="shared" si="0"/>
        <v>2.146527989148415</v>
      </c>
      <c r="T24" s="30" t="str">
        <f t="shared" si="1"/>
        <v/>
      </c>
      <c r="U24" s="30">
        <f t="shared" si="2"/>
        <v>3.7290000000000001</v>
      </c>
      <c r="V24" s="34"/>
      <c r="W24" s="27"/>
      <c r="X24" s="31"/>
      <c r="Y24" s="26"/>
      <c r="Z24" s="26">
        <f t="shared" si="5"/>
        <v>2.5896349070858116</v>
      </c>
      <c r="AA24" s="27">
        <f t="shared" si="4"/>
        <v>269.83</v>
      </c>
      <c r="AB24" s="48"/>
      <c r="AC24" s="17"/>
    </row>
    <row r="25" spans="1:33" ht="18" x14ac:dyDescent="0.25">
      <c r="A25" s="10">
        <v>1</v>
      </c>
      <c r="B25" s="11" t="s">
        <v>80</v>
      </c>
      <c r="C25" s="11" t="s">
        <v>28</v>
      </c>
      <c r="D25" s="11">
        <v>-0.21</v>
      </c>
      <c r="E25" s="11">
        <v>-6.2E-2</v>
      </c>
      <c r="F25" s="11">
        <v>-1.538</v>
      </c>
      <c r="G25" s="11">
        <v>28246</v>
      </c>
      <c r="H25" s="12">
        <v>0.44314239184309201</v>
      </c>
      <c r="I25" s="12">
        <v>0.93449348243234298</v>
      </c>
      <c r="J25" s="11">
        <v>12517</v>
      </c>
      <c r="K25" s="11">
        <v>15729</v>
      </c>
      <c r="L25" s="12">
        <v>0.90310245310245296</v>
      </c>
      <c r="M25" s="12">
        <v>0.96107784431137699</v>
      </c>
      <c r="N25" s="12"/>
      <c r="O25" s="13"/>
      <c r="P25" s="13">
        <v>3.6071942627095002E-3</v>
      </c>
      <c r="Q25" s="13">
        <v>5.6486001255774902E-2</v>
      </c>
      <c r="R25" s="13">
        <v>5.7975391208924103</v>
      </c>
      <c r="S25" s="14">
        <f t="shared" si="0"/>
        <v>-1.4372509759809435</v>
      </c>
      <c r="T25" s="14">
        <f t="shared" si="1"/>
        <v>0.6051995833791991</v>
      </c>
      <c r="U25">
        <f t="shared" si="2"/>
        <v>8.8520000000000003</v>
      </c>
      <c r="V25" s="36" t="s">
        <v>81</v>
      </c>
      <c r="W25" s="37" t="s">
        <v>82</v>
      </c>
      <c r="X25" s="16">
        <v>252</v>
      </c>
      <c r="Y25" s="10">
        <f t="shared" si="3"/>
        <v>289.39</v>
      </c>
      <c r="Z25" s="18" t="str">
        <f t="shared" si="5"/>
        <v/>
      </c>
      <c r="AA25" s="17" t="str">
        <f t="shared" si="4"/>
        <v/>
      </c>
      <c r="AB25" s="45"/>
      <c r="AC25" s="17"/>
      <c r="AD25" t="s">
        <v>83</v>
      </c>
      <c r="AE25" t="s">
        <v>84</v>
      </c>
      <c r="AF25" t="s">
        <v>85</v>
      </c>
    </row>
    <row r="26" spans="1:33" ht="18" x14ac:dyDescent="0.25">
      <c r="A26" s="26">
        <v>2</v>
      </c>
      <c r="B26" s="27" t="s">
        <v>80</v>
      </c>
      <c r="C26" s="27" t="s">
        <v>86</v>
      </c>
      <c r="D26" s="27">
        <v>-0.21</v>
      </c>
      <c r="E26" s="27">
        <v>0.91200000000000003</v>
      </c>
      <c r="F26" s="27">
        <v>7.3140000000000001</v>
      </c>
      <c r="G26" s="27">
        <v>1980</v>
      </c>
      <c r="H26" s="28">
        <v>0.67828282828282804</v>
      </c>
      <c r="I26" s="28">
        <v>6.5506517567656894E-2</v>
      </c>
      <c r="J26" s="27">
        <v>1343</v>
      </c>
      <c r="K26" s="27">
        <v>637</v>
      </c>
      <c r="L26" s="28">
        <v>9.6897546897546899E-2</v>
      </c>
      <c r="M26" s="28">
        <v>3.89221556886227E-2</v>
      </c>
      <c r="N26" s="28">
        <v>0.23514043643973501</v>
      </c>
      <c r="O26" s="29">
        <v>0.97430996286369298</v>
      </c>
      <c r="P26" s="29">
        <v>5.2878806993065401E-2</v>
      </c>
      <c r="Q26" s="29">
        <v>5.6486001255774902E-2</v>
      </c>
      <c r="R26" s="29">
        <v>5.7975391208924103</v>
      </c>
      <c r="S26" s="30">
        <f t="shared" si="0"/>
        <v>0.47911466948984255</v>
      </c>
      <c r="T26" s="30" t="str">
        <f t="shared" si="1"/>
        <v/>
      </c>
      <c r="U26" s="30">
        <f t="shared" si="2"/>
        <v>0</v>
      </c>
      <c r="V26" s="34"/>
      <c r="W26" s="27"/>
      <c r="X26" s="31"/>
      <c r="Y26" s="26"/>
      <c r="Z26" s="32">
        <f t="shared" si="5"/>
        <v>8.6335694101660998</v>
      </c>
      <c r="AA26" s="33">
        <f t="shared" si="4"/>
        <v>317.13</v>
      </c>
      <c r="AB26" s="47"/>
      <c r="AC26" s="17"/>
      <c r="AD26" s="38" t="s">
        <v>87</v>
      </c>
      <c r="AE26">
        <v>-0.11</v>
      </c>
      <c r="AF26">
        <v>-0.97876927148812198</v>
      </c>
      <c r="AG26" t="s">
        <v>88</v>
      </c>
    </row>
    <row r="27" spans="1:33" ht="18" x14ac:dyDescent="0.25">
      <c r="A27" s="10">
        <v>1</v>
      </c>
      <c r="B27" s="11" t="s">
        <v>89</v>
      </c>
      <c r="C27" s="11" t="s">
        <v>72</v>
      </c>
      <c r="D27" s="11">
        <v>-0.193</v>
      </c>
      <c r="E27" s="11">
        <v>0.248</v>
      </c>
      <c r="F27" s="11">
        <v>1.0980000000000001</v>
      </c>
      <c r="G27" s="11">
        <v>3985</v>
      </c>
      <c r="H27" s="12">
        <v>0.52045169385194401</v>
      </c>
      <c r="I27" s="12">
        <v>0.131840137629855</v>
      </c>
      <c r="J27" s="11">
        <v>2074</v>
      </c>
      <c r="K27" s="11">
        <v>1911</v>
      </c>
      <c r="L27" s="12">
        <v>0.14963924963924899</v>
      </c>
      <c r="M27" s="12">
        <v>0.116766467065868</v>
      </c>
      <c r="N27" s="12"/>
      <c r="O27" s="13"/>
      <c r="P27" s="13">
        <v>8.1541418066786806E-3</v>
      </c>
      <c r="Q27" s="13">
        <v>1.55871538019333E-2</v>
      </c>
      <c r="R27" s="13">
        <v>4.8383663805880497</v>
      </c>
      <c r="S27" s="14">
        <f t="shared" si="0"/>
        <v>0.14476047111758081</v>
      </c>
      <c r="T27" s="14" t="str">
        <f t="shared" si="1"/>
        <v/>
      </c>
      <c r="U27">
        <f t="shared" si="2"/>
        <v>0</v>
      </c>
      <c r="V27" s="15"/>
      <c r="W27" s="11"/>
      <c r="X27" s="16"/>
      <c r="Y27" s="10"/>
      <c r="Z27" s="23">
        <f t="shared" si="5"/>
        <v>2.1221063154815503</v>
      </c>
      <c r="AA27" s="24">
        <f t="shared" si="4"/>
        <v>266.17</v>
      </c>
      <c r="AB27" s="46"/>
      <c r="AC27" s="17"/>
      <c r="AD27" s="38" t="s">
        <v>71</v>
      </c>
      <c r="AE27">
        <v>6.734</v>
      </c>
      <c r="AF27">
        <v>-1.8903711705154342</v>
      </c>
      <c r="AG27" t="s">
        <v>90</v>
      </c>
    </row>
    <row r="28" spans="1:33" ht="108" x14ac:dyDescent="0.25">
      <c r="A28" s="18">
        <v>2</v>
      </c>
      <c r="B28" s="17" t="s">
        <v>89</v>
      </c>
      <c r="C28" s="17" t="s">
        <v>54</v>
      </c>
      <c r="D28" s="17">
        <v>-0.193</v>
      </c>
      <c r="E28" s="17">
        <v>-0.36099999999999999</v>
      </c>
      <c r="F28" s="17">
        <v>-3.988</v>
      </c>
      <c r="G28" s="17">
        <v>1719</v>
      </c>
      <c r="H28" s="19">
        <v>0.371146015125072</v>
      </c>
      <c r="I28" s="19">
        <v>5.6871567524647601E-2</v>
      </c>
      <c r="J28" s="17">
        <v>638</v>
      </c>
      <c r="K28" s="17">
        <v>1081</v>
      </c>
      <c r="L28" s="19">
        <v>4.6031746031746E-2</v>
      </c>
      <c r="M28" s="19">
        <v>6.60515703287302E-2</v>
      </c>
      <c r="N28" s="19">
        <v>0.149305678726872</v>
      </c>
      <c r="O28" s="20">
        <v>-0.60915597884361705</v>
      </c>
      <c r="P28" s="20">
        <v>7.2292489621862696E-3</v>
      </c>
      <c r="Q28" s="20">
        <v>1.55871538019333E-2</v>
      </c>
      <c r="R28" s="20">
        <v>4.8383663805880497</v>
      </c>
      <c r="S28">
        <f t="shared" si="0"/>
        <v>-0.22680381128829463</v>
      </c>
      <c r="T28">
        <f t="shared" si="1"/>
        <v>3.0755555429329884</v>
      </c>
      <c r="U28">
        <f t="shared" si="2"/>
        <v>5.0860000000000003</v>
      </c>
      <c r="V28" s="22" t="s">
        <v>91</v>
      </c>
      <c r="W28" s="17" t="s">
        <v>92</v>
      </c>
      <c r="X28" s="21">
        <v>287.11</v>
      </c>
      <c r="Y28" s="18">
        <f t="shared" si="3"/>
        <v>272.63</v>
      </c>
      <c r="Z28" s="18" t="str">
        <f t="shared" si="5"/>
        <v/>
      </c>
      <c r="AA28" s="17" t="str">
        <f t="shared" si="4"/>
        <v/>
      </c>
      <c r="AB28" s="46" t="s">
        <v>167</v>
      </c>
      <c r="AC28" s="17"/>
      <c r="AD28" s="38" t="s">
        <v>93</v>
      </c>
      <c r="AE28">
        <v>8.734</v>
      </c>
      <c r="AF28">
        <v>-1.0124831601932112</v>
      </c>
      <c r="AG28" t="s">
        <v>94</v>
      </c>
    </row>
    <row r="29" spans="1:33" ht="18" x14ac:dyDescent="0.25">
      <c r="A29" s="26">
        <v>3</v>
      </c>
      <c r="B29" s="27" t="s">
        <v>89</v>
      </c>
      <c r="C29" s="27" t="s">
        <v>70</v>
      </c>
      <c r="D29" s="27">
        <v>-0.193</v>
      </c>
      <c r="E29" s="27">
        <v>-1.6E-2</v>
      </c>
      <c r="F29" s="27">
        <v>-1.105</v>
      </c>
      <c r="G29" s="27">
        <v>24522</v>
      </c>
      <c r="H29" s="28">
        <v>0.45461218497675498</v>
      </c>
      <c r="I29" s="28">
        <v>0.81128829484549703</v>
      </c>
      <c r="J29" s="27">
        <v>11148</v>
      </c>
      <c r="K29" s="27">
        <v>13374</v>
      </c>
      <c r="L29" s="28">
        <v>0.804329004329004</v>
      </c>
      <c r="M29" s="28">
        <v>0.81718196260540099</v>
      </c>
      <c r="N29" s="28">
        <v>8.34661698516828E-2</v>
      </c>
      <c r="O29" s="29">
        <v>0.34525112028233301</v>
      </c>
      <c r="P29" s="29">
        <v>2.03763033068401E-4</v>
      </c>
      <c r="Q29" s="29">
        <v>1.55871538019333E-2</v>
      </c>
      <c r="R29" s="29">
        <v>4.8383663805880497</v>
      </c>
      <c r="S29" s="30">
        <f t="shared" si="0"/>
        <v>-0.89647356580427418</v>
      </c>
      <c r="T29" s="30">
        <f t="shared" si="1"/>
        <v>0.12925999873143232</v>
      </c>
      <c r="U29" s="30">
        <f t="shared" si="2"/>
        <v>2.2030000000000003</v>
      </c>
      <c r="V29" s="34"/>
      <c r="W29" s="27"/>
      <c r="X29" s="31"/>
      <c r="Y29" s="26"/>
      <c r="Z29" s="26" t="str">
        <f t="shared" si="5"/>
        <v/>
      </c>
      <c r="AA29" s="27" t="str">
        <f t="shared" si="4"/>
        <v/>
      </c>
      <c r="AB29" s="48"/>
      <c r="AC29" s="17"/>
      <c r="AD29" s="38" t="s">
        <v>80</v>
      </c>
      <c r="AE29">
        <v>7.3140000000000001</v>
      </c>
      <c r="AF29">
        <v>-0.95813630649110104</v>
      </c>
      <c r="AG29" t="s">
        <v>95</v>
      </c>
    </row>
    <row r="30" spans="1:33" ht="108" x14ac:dyDescent="0.25">
      <c r="A30" s="10">
        <v>1</v>
      </c>
      <c r="B30" s="11" t="s">
        <v>93</v>
      </c>
      <c r="C30" s="11" t="s">
        <v>96</v>
      </c>
      <c r="D30" s="11">
        <v>-0.188</v>
      </c>
      <c r="E30" s="11">
        <v>-0.57599999999999996</v>
      </c>
      <c r="F30" s="11">
        <v>-5.6609999999999996</v>
      </c>
      <c r="G30" s="11">
        <v>14662</v>
      </c>
      <c r="H30" s="12">
        <v>0.322602646296548</v>
      </c>
      <c r="I30" s="12">
        <v>0.48507907099847802</v>
      </c>
      <c r="J30" s="11">
        <v>4730</v>
      </c>
      <c r="K30" s="11">
        <v>9932</v>
      </c>
      <c r="L30" s="12">
        <v>0.341269841269841</v>
      </c>
      <c r="M30" s="12">
        <v>0.60686789685934195</v>
      </c>
      <c r="N30" s="12"/>
      <c r="O30" s="13"/>
      <c r="P30" s="13">
        <v>0.152888239713836</v>
      </c>
      <c r="Q30" s="13">
        <v>0.39986592485911299</v>
      </c>
      <c r="R30" s="13">
        <v>32.992752457801899</v>
      </c>
      <c r="S30" s="14">
        <f t="shared" si="0"/>
        <v>-2.7460326209223838</v>
      </c>
      <c r="T30" s="14">
        <f t="shared" si="1"/>
        <v>4.5912041035030313</v>
      </c>
      <c r="U30">
        <f t="shared" si="2"/>
        <v>14.395</v>
      </c>
      <c r="V30" s="15" t="s">
        <v>97</v>
      </c>
      <c r="W30" s="11" t="s">
        <v>98</v>
      </c>
      <c r="X30" s="16">
        <v>306.05</v>
      </c>
      <c r="Y30" s="10">
        <f t="shared" si="3"/>
        <v>314.06</v>
      </c>
      <c r="Z30" s="18" t="str">
        <f t="shared" si="5"/>
        <v/>
      </c>
      <c r="AA30" s="17" t="str">
        <f t="shared" si="4"/>
        <v/>
      </c>
      <c r="AB30" s="45" t="s">
        <v>168</v>
      </c>
      <c r="AC30" s="17"/>
      <c r="AD30" s="38" t="s">
        <v>34</v>
      </c>
      <c r="AE30">
        <v>24.318999999999999</v>
      </c>
      <c r="AF30">
        <v>-4.2045148216767032</v>
      </c>
      <c r="AG30" t="s">
        <v>99</v>
      </c>
    </row>
    <row r="31" spans="1:33" ht="18" x14ac:dyDescent="0.25">
      <c r="A31" s="18">
        <v>2</v>
      </c>
      <c r="B31" s="17" t="s">
        <v>93</v>
      </c>
      <c r="C31" s="17" t="s">
        <v>100</v>
      </c>
      <c r="D31" s="17">
        <v>-0.188</v>
      </c>
      <c r="E31" s="17">
        <v>0.47599999999999998</v>
      </c>
      <c r="F31" s="17">
        <v>2.9060000000000001</v>
      </c>
      <c r="G31" s="17">
        <v>1586</v>
      </c>
      <c r="H31" s="19">
        <v>0.57692307692307598</v>
      </c>
      <c r="I31" s="19">
        <v>5.2471382253688803E-2</v>
      </c>
      <c r="J31" s="17">
        <v>914.99999999999898</v>
      </c>
      <c r="K31" s="17">
        <v>671</v>
      </c>
      <c r="L31" s="19">
        <v>6.6017316017316002E-2</v>
      </c>
      <c r="M31" s="19">
        <v>4.0999633386288599E-2</v>
      </c>
      <c r="N31" s="19">
        <v>0.25432043062652798</v>
      </c>
      <c r="O31" s="20">
        <v>1.0519915934459101</v>
      </c>
      <c r="P31" s="20">
        <v>1.19172718572587E-2</v>
      </c>
      <c r="Q31" s="20">
        <v>0.39986592485911299</v>
      </c>
      <c r="R31" s="20">
        <v>32.992752457801899</v>
      </c>
      <c r="S31">
        <f t="shared" si="0"/>
        <v>0.15248183682921967</v>
      </c>
      <c r="T31" t="str">
        <f t="shared" si="1"/>
        <v/>
      </c>
      <c r="U31">
        <f t="shared" si="2"/>
        <v>5.8279999999999994</v>
      </c>
      <c r="V31" s="22"/>
      <c r="X31" s="21"/>
      <c r="Y31" s="18">
        <f t="shared" si="3"/>
        <v>275.93</v>
      </c>
      <c r="Z31" s="18">
        <f t="shared" si="5"/>
        <v>3.8701711932131801</v>
      </c>
      <c r="AA31" s="17">
        <f t="shared" si="4"/>
        <v>279.85000000000002</v>
      </c>
      <c r="AB31" s="45"/>
      <c r="AC31" s="17"/>
      <c r="AD31" s="38" t="s">
        <v>101</v>
      </c>
      <c r="AE31">
        <v>2.8239999999999998</v>
      </c>
      <c r="AF31">
        <v>-1.0086101700522716</v>
      </c>
      <c r="AG31" t="s">
        <v>102</v>
      </c>
    </row>
    <row r="32" spans="1:33" ht="18" x14ac:dyDescent="0.25">
      <c r="A32" s="18">
        <v>3</v>
      </c>
      <c r="B32" s="17" t="s">
        <v>93</v>
      </c>
      <c r="C32" s="17" t="s">
        <v>103</v>
      </c>
      <c r="D32" s="17">
        <v>-0.188</v>
      </c>
      <c r="E32" s="17">
        <v>0.74</v>
      </c>
      <c r="F32" s="17">
        <v>5.0519999999999996</v>
      </c>
      <c r="G32" s="17">
        <v>1798</v>
      </c>
      <c r="H32" s="19">
        <v>0.63959955506117905</v>
      </c>
      <c r="I32" s="19">
        <v>5.9485211407397598E-2</v>
      </c>
      <c r="J32" s="17">
        <v>1150</v>
      </c>
      <c r="K32" s="17">
        <v>648</v>
      </c>
      <c r="L32" s="19">
        <v>8.2972582972582906E-2</v>
      </c>
      <c r="M32" s="19">
        <v>3.9594280826102897E-2</v>
      </c>
      <c r="N32" s="19">
        <v>6.2676478138102107E-2</v>
      </c>
      <c r="O32" s="20">
        <v>0.26347159670118098</v>
      </c>
      <c r="P32" s="20">
        <v>3.2092375955053001E-2</v>
      </c>
      <c r="Q32" s="20">
        <v>0.39986592485911299</v>
      </c>
      <c r="R32" s="20">
        <v>32.992752457801899</v>
      </c>
      <c r="S32">
        <f t="shared" si="0"/>
        <v>0.30051928803017264</v>
      </c>
      <c r="T32" t="str">
        <f t="shared" si="1"/>
        <v/>
      </c>
      <c r="U32">
        <f t="shared" si="2"/>
        <v>3.6820000000000004</v>
      </c>
      <c r="V32" s="22"/>
      <c r="X32" s="21"/>
      <c r="Y32" s="18">
        <f t="shared" si="3"/>
        <v>266.39</v>
      </c>
      <c r="Z32" s="23">
        <f t="shared" si="5"/>
        <v>5.9897126180705378</v>
      </c>
      <c r="AA32" s="24">
        <f t="shared" si="4"/>
        <v>296.44</v>
      </c>
      <c r="AB32" s="46"/>
      <c r="AC32" s="17"/>
      <c r="AD32" s="38" t="s">
        <v>50</v>
      </c>
      <c r="AE32">
        <v>27.288</v>
      </c>
      <c r="AF32">
        <v>-0.72981661483491855</v>
      </c>
      <c r="AG32" t="s">
        <v>104</v>
      </c>
    </row>
    <row r="33" spans="1:33" ht="18" x14ac:dyDescent="0.25">
      <c r="A33" s="18">
        <v>4</v>
      </c>
      <c r="B33" s="17" t="s">
        <v>93</v>
      </c>
      <c r="C33" s="17" t="s">
        <v>105</v>
      </c>
      <c r="D33" s="17">
        <v>-0.188</v>
      </c>
      <c r="E33" s="17">
        <v>0.78200000000000003</v>
      </c>
      <c r="F33" s="17">
        <v>5.399</v>
      </c>
      <c r="G33" s="17">
        <v>3103</v>
      </c>
      <c r="H33" s="19">
        <v>0.64937157589429495</v>
      </c>
      <c r="I33" s="19">
        <v>0.10265996162244399</v>
      </c>
      <c r="J33" s="17">
        <v>2015</v>
      </c>
      <c r="K33" s="17">
        <v>1088</v>
      </c>
      <c r="L33" s="19">
        <v>0.145382395382395</v>
      </c>
      <c r="M33" s="19">
        <v>6.6479286325308501E-2</v>
      </c>
      <c r="N33" s="19">
        <v>9.7720208331167902E-3</v>
      </c>
      <c r="O33" s="20">
        <v>4.26515219598744E-2</v>
      </c>
      <c r="P33" s="20">
        <v>6.1739873218692197E-2</v>
      </c>
      <c r="Q33" s="20">
        <v>0.39986592485911299</v>
      </c>
      <c r="R33" s="20">
        <v>32.992752457801899</v>
      </c>
      <c r="S33">
        <f t="shared" si="0"/>
        <v>0.55426113279957512</v>
      </c>
      <c r="T33" t="str">
        <f t="shared" si="1"/>
        <v/>
      </c>
      <c r="U33">
        <f t="shared" si="2"/>
        <v>3.335</v>
      </c>
      <c r="V33" s="22"/>
      <c r="X33" s="21"/>
      <c r="Y33" s="18">
        <f t="shared" si="3"/>
        <v>264.83999999999997</v>
      </c>
      <c r="Z33" s="23">
        <f t="shared" si="5"/>
        <v>6.3324343675698413</v>
      </c>
      <c r="AA33" s="24">
        <f t="shared" si="4"/>
        <v>299.12</v>
      </c>
      <c r="AB33" s="46"/>
      <c r="AC33" s="17"/>
      <c r="AD33" s="38" t="s">
        <v>57</v>
      </c>
      <c r="AE33">
        <v>24.914999999999999</v>
      </c>
      <c r="AF33">
        <v>-1.0808153907232154</v>
      </c>
      <c r="AG33" t="s">
        <v>106</v>
      </c>
    </row>
    <row r="34" spans="1:33" ht="18" x14ac:dyDescent="0.25">
      <c r="A34" s="18">
        <v>5</v>
      </c>
      <c r="B34" s="17" t="s">
        <v>93</v>
      </c>
      <c r="C34" s="17" t="s">
        <v>107</v>
      </c>
      <c r="D34" s="17">
        <v>-0.188</v>
      </c>
      <c r="E34" s="17">
        <v>0.96099999999999997</v>
      </c>
      <c r="F34" s="17">
        <v>6.8559999999999999</v>
      </c>
      <c r="G34" s="17">
        <v>1887</v>
      </c>
      <c r="H34" s="19">
        <v>0.68892421833598305</v>
      </c>
      <c r="I34" s="19">
        <v>6.2429696287964E-2</v>
      </c>
      <c r="J34" s="17">
        <v>1300</v>
      </c>
      <c r="K34" s="17">
        <v>587</v>
      </c>
      <c r="L34" s="19">
        <v>9.3795093795093695E-2</v>
      </c>
      <c r="M34" s="19">
        <v>3.5867041427349297E-2</v>
      </c>
      <c r="N34" s="19">
        <v>3.95526424416872E-2</v>
      </c>
      <c r="O34" s="20">
        <v>0.178816676656636</v>
      </c>
      <c r="P34" s="20">
        <v>5.5685874225331403E-2</v>
      </c>
      <c r="Q34" s="20">
        <v>0.39986592485911299</v>
      </c>
      <c r="R34" s="20">
        <v>32.992752457801899</v>
      </c>
      <c r="S34">
        <f t="shared" si="0"/>
        <v>0.42801799775028115</v>
      </c>
      <c r="T34" t="str">
        <f t="shared" si="1"/>
        <v/>
      </c>
      <c r="U34">
        <f t="shared" si="2"/>
        <v>1.8780000000000001</v>
      </c>
      <c r="V34" s="22"/>
      <c r="X34" s="21"/>
      <c r="Y34" s="39">
        <f t="shared" si="3"/>
        <v>258.36</v>
      </c>
      <c r="Z34" s="23">
        <f t="shared" si="5"/>
        <v>7.771470647167777</v>
      </c>
      <c r="AA34" s="24">
        <f t="shared" si="4"/>
        <v>310.38</v>
      </c>
      <c r="AB34" s="46"/>
      <c r="AC34" s="40"/>
      <c r="AD34" s="38" t="s">
        <v>45</v>
      </c>
      <c r="AE34">
        <v>10.345000000000001</v>
      </c>
      <c r="AF34">
        <v>-7.6247362866406361</v>
      </c>
      <c r="AG34" t="s">
        <v>108</v>
      </c>
    </row>
    <row r="35" spans="1:33" ht="18" x14ac:dyDescent="0.25">
      <c r="A35" s="18">
        <v>6</v>
      </c>
      <c r="B35" s="17" t="s">
        <v>93</v>
      </c>
      <c r="C35" s="17" t="s">
        <v>109</v>
      </c>
      <c r="D35" s="17">
        <v>-0.188</v>
      </c>
      <c r="E35" s="17">
        <v>1.1919999999999999</v>
      </c>
      <c r="F35" s="17">
        <v>8.734</v>
      </c>
      <c r="G35" s="17">
        <v>1925</v>
      </c>
      <c r="H35" s="19">
        <v>0.73610389610389604</v>
      </c>
      <c r="I35" s="19">
        <v>6.3686892079666504E-2</v>
      </c>
      <c r="J35" s="17">
        <v>1417</v>
      </c>
      <c r="K35" s="17">
        <v>507.99999999999898</v>
      </c>
      <c r="L35" s="19">
        <v>0.102236652236652</v>
      </c>
      <c r="M35" s="19">
        <v>3.1039960894537401E-2</v>
      </c>
      <c r="N35" s="19">
        <v>4.7179677767913097E-2</v>
      </c>
      <c r="O35" s="20">
        <v>0.23072106849066701</v>
      </c>
      <c r="P35" s="20">
        <v>8.4867510535238999E-2</v>
      </c>
      <c r="Q35" s="20">
        <v>0.39986592485911299</v>
      </c>
      <c r="R35" s="20">
        <v>32.992752457801899</v>
      </c>
      <c r="S35">
        <f t="shared" si="0"/>
        <v>0.55624131542380728</v>
      </c>
      <c r="T35" t="str">
        <f t="shared" si="1"/>
        <v/>
      </c>
      <c r="U35">
        <f t="shared" si="2"/>
        <v>0</v>
      </c>
      <c r="V35" s="22"/>
      <c r="X35" s="21"/>
      <c r="Y35" s="18"/>
      <c r="Z35" s="23">
        <f t="shared" si="5"/>
        <v>9.626316311604926</v>
      </c>
      <c r="AA35" s="24">
        <f t="shared" si="4"/>
        <v>324.89999999999998</v>
      </c>
      <c r="AB35" s="46"/>
      <c r="AC35" s="17"/>
      <c r="AD35" s="38" t="s">
        <v>110</v>
      </c>
      <c r="AE35">
        <v>7.0869999999999997</v>
      </c>
      <c r="AF35">
        <v>-1.0596992655329895</v>
      </c>
      <c r="AG35" t="s">
        <v>111</v>
      </c>
    </row>
    <row r="36" spans="1:33" ht="108" x14ac:dyDescent="0.25">
      <c r="A36" s="26">
        <v>7</v>
      </c>
      <c r="B36" s="27" t="s">
        <v>93</v>
      </c>
      <c r="C36" s="27" t="s">
        <v>70</v>
      </c>
      <c r="D36" s="27">
        <v>-0.188</v>
      </c>
      <c r="E36" s="27">
        <v>-6.2E-2</v>
      </c>
      <c r="F36" s="27">
        <v>-1.4810000000000001</v>
      </c>
      <c r="G36" s="27">
        <v>5265</v>
      </c>
      <c r="H36" s="28">
        <v>0.44311490978157603</v>
      </c>
      <c r="I36" s="28">
        <v>0.17418778535036</v>
      </c>
      <c r="J36" s="27">
        <v>2333</v>
      </c>
      <c r="K36" s="27">
        <v>2931.99999999999</v>
      </c>
      <c r="L36" s="28">
        <v>0.16832611832611799</v>
      </c>
      <c r="M36" s="28">
        <v>0.17915190028107</v>
      </c>
      <c r="N36" s="28">
        <v>0.29298898632231901</v>
      </c>
      <c r="O36" s="29">
        <v>-1.25434558309731</v>
      </c>
      <c r="P36" s="29">
        <v>6.74779353702515E-4</v>
      </c>
      <c r="Q36" s="29">
        <v>0.39986592485911299</v>
      </c>
      <c r="R36" s="29">
        <v>32.992752457801899</v>
      </c>
      <c r="S36" s="30">
        <f t="shared" si="0"/>
        <v>-0.25797211010388316</v>
      </c>
      <c r="T36" s="30">
        <f t="shared" si="1"/>
        <v>0.46274037754601499</v>
      </c>
      <c r="U36" s="30">
        <f t="shared" si="2"/>
        <v>10.215</v>
      </c>
      <c r="V36" s="34" t="s">
        <v>112</v>
      </c>
      <c r="W36" s="27" t="s">
        <v>113</v>
      </c>
      <c r="X36" s="31">
        <v>304</v>
      </c>
      <c r="Y36" s="26"/>
      <c r="Z36" s="26" t="str">
        <f t="shared" si="5"/>
        <v/>
      </c>
      <c r="AA36" s="27" t="str">
        <f t="shared" si="4"/>
        <v/>
      </c>
      <c r="AB36" s="49" t="s">
        <v>114</v>
      </c>
      <c r="AC36" s="17"/>
      <c r="AD36" s="38" t="s">
        <v>27</v>
      </c>
      <c r="AE36">
        <v>30.538</v>
      </c>
      <c r="AF36">
        <v>-1.0058446701515333</v>
      </c>
      <c r="AG36" t="s">
        <v>115</v>
      </c>
    </row>
    <row r="37" spans="1:33" ht="18" x14ac:dyDescent="0.25">
      <c r="A37" s="10">
        <v>1</v>
      </c>
      <c r="B37" s="11" t="s">
        <v>110</v>
      </c>
      <c r="C37" s="11" t="s">
        <v>116</v>
      </c>
      <c r="D37" s="11">
        <v>-0.18099999999999999</v>
      </c>
      <c r="E37" s="11">
        <v>0.09</v>
      </c>
      <c r="F37" s="11">
        <v>-0.27200000000000002</v>
      </c>
      <c r="G37" s="11">
        <v>1672</v>
      </c>
      <c r="H37" s="12">
        <v>0.48086124401913799</v>
      </c>
      <c r="I37" s="12">
        <v>5.5316614834910301E-2</v>
      </c>
      <c r="J37" s="11">
        <v>804</v>
      </c>
      <c r="K37" s="11">
        <v>868</v>
      </c>
      <c r="L37" s="12">
        <v>5.8008658008658003E-2</v>
      </c>
      <c r="M37" s="12">
        <v>5.3036783575705702E-2</v>
      </c>
      <c r="N37" s="12"/>
      <c r="O37" s="13"/>
      <c r="P37" s="13">
        <v>4.4551262863729702E-4</v>
      </c>
      <c r="Q37" s="13">
        <v>0.513165799736092</v>
      </c>
      <c r="R37" s="13">
        <v>36.816541402573399</v>
      </c>
      <c r="S37" s="14">
        <f t="shared" si="0"/>
        <v>-1.5046119235095603E-2</v>
      </c>
      <c r="T37" s="14" t="str">
        <f t="shared" si="1"/>
        <v/>
      </c>
      <c r="U37">
        <f t="shared" si="2"/>
        <v>7.359</v>
      </c>
      <c r="X37" s="16"/>
      <c r="Y37" s="10">
        <f t="shared" si="3"/>
        <v>282.75</v>
      </c>
      <c r="Z37" s="18">
        <f t="shared" si="5"/>
        <v>0.74332340424602061</v>
      </c>
      <c r="AA37" s="17">
        <f t="shared" si="4"/>
        <v>255.38</v>
      </c>
      <c r="AB37" s="45"/>
      <c r="AC37" s="17"/>
      <c r="AD37" s="38" t="s">
        <v>117</v>
      </c>
      <c r="AE37">
        <v>0.69299999999999995</v>
      </c>
      <c r="AF37">
        <v>-1.1675841990339384</v>
      </c>
      <c r="AG37" t="s">
        <v>118</v>
      </c>
    </row>
    <row r="38" spans="1:33" ht="18" x14ac:dyDescent="0.25">
      <c r="A38" s="18">
        <v>2</v>
      </c>
      <c r="B38" s="17" t="s">
        <v>110</v>
      </c>
      <c r="C38" s="17" t="s">
        <v>119</v>
      </c>
      <c r="D38" s="17">
        <v>-0.18099999999999999</v>
      </c>
      <c r="E38" s="17">
        <v>0.53300000000000003</v>
      </c>
      <c r="F38" s="17">
        <v>3.1949999999999998</v>
      </c>
      <c r="G38" s="17">
        <v>2326</v>
      </c>
      <c r="H38" s="19">
        <v>0.59071367153912202</v>
      </c>
      <c r="I38" s="19">
        <v>7.6953616092106103E-2</v>
      </c>
      <c r="J38" s="17">
        <v>1373.99999999999</v>
      </c>
      <c r="K38" s="17">
        <v>952</v>
      </c>
      <c r="L38" s="19">
        <v>9.9134199134199102E-2</v>
      </c>
      <c r="M38" s="19">
        <v>5.8169375534644997E-2</v>
      </c>
      <c r="N38" s="19">
        <v>0.109852427519984</v>
      </c>
      <c r="O38" s="20">
        <v>0.44350888347231199</v>
      </c>
      <c r="P38" s="20">
        <v>2.1838980626932899E-2</v>
      </c>
      <c r="Q38" s="20">
        <v>0.513165799736092</v>
      </c>
      <c r="R38" s="20">
        <v>36.816541402573399</v>
      </c>
      <c r="S38">
        <f t="shared" si="0"/>
        <v>0.24586680341427899</v>
      </c>
      <c r="T38" t="str">
        <f t="shared" si="1"/>
        <v/>
      </c>
      <c r="U38">
        <f t="shared" si="2"/>
        <v>3.8919999999999999</v>
      </c>
      <c r="V38" s="22"/>
      <c r="X38" s="21"/>
      <c r="Y38" s="18">
        <f t="shared" si="3"/>
        <v>267.32</v>
      </c>
      <c r="Z38" s="23">
        <f t="shared" si="5"/>
        <v>4.01500633615428</v>
      </c>
      <c r="AA38" s="24">
        <f t="shared" si="4"/>
        <v>280.98</v>
      </c>
      <c r="AB38" s="46"/>
      <c r="AC38" s="17"/>
      <c r="AD38" s="38" t="s">
        <v>89</v>
      </c>
      <c r="AE38">
        <v>1.0980000000000001</v>
      </c>
      <c r="AF38">
        <v>-0.97851690597498797</v>
      </c>
      <c r="AG38" t="s">
        <v>120</v>
      </c>
    </row>
    <row r="39" spans="1:33" ht="18" x14ac:dyDescent="0.25">
      <c r="A39" s="18">
        <v>3</v>
      </c>
      <c r="B39" s="17" t="s">
        <v>110</v>
      </c>
      <c r="C39" s="17" t="s">
        <v>121</v>
      </c>
      <c r="D39" s="17">
        <v>-0.18099999999999999</v>
      </c>
      <c r="E39" s="17">
        <v>0.84899999999999998</v>
      </c>
      <c r="F39" s="17">
        <v>5.6639999999999997</v>
      </c>
      <c r="G39" s="17">
        <v>1874</v>
      </c>
      <c r="H39" s="19">
        <v>0.66435432230522895</v>
      </c>
      <c r="I39" s="19">
        <v>6.1999602990802601E-2</v>
      </c>
      <c r="J39" s="17">
        <v>1245</v>
      </c>
      <c r="K39" s="17">
        <v>628.99999999999898</v>
      </c>
      <c r="L39" s="19">
        <v>8.9826839826839797E-2</v>
      </c>
      <c r="M39" s="19">
        <v>3.8433337406819E-2</v>
      </c>
      <c r="N39" s="19">
        <v>7.3640650766106597E-2</v>
      </c>
      <c r="O39" s="20">
        <v>0.31584311420743799</v>
      </c>
      <c r="P39" s="20">
        <v>4.3630954349637402E-2</v>
      </c>
      <c r="Q39" s="20">
        <v>0.513165799736092</v>
      </c>
      <c r="R39" s="20">
        <v>36.816541402573399</v>
      </c>
      <c r="S39">
        <f t="shared" si="0"/>
        <v>0.35116575133990591</v>
      </c>
      <c r="T39" t="str">
        <f t="shared" si="1"/>
        <v/>
      </c>
      <c r="U39">
        <f t="shared" si="2"/>
        <v>1.423</v>
      </c>
      <c r="V39" s="22"/>
      <c r="X39" s="21"/>
      <c r="Y39" s="39">
        <f t="shared" si="3"/>
        <v>256.33</v>
      </c>
      <c r="Z39" s="23">
        <f t="shared" si="5"/>
        <v>6.3449126409946288</v>
      </c>
      <c r="AA39" s="24">
        <f t="shared" si="4"/>
        <v>299.22000000000003</v>
      </c>
      <c r="AB39" s="46"/>
      <c r="AC39" s="40"/>
      <c r="AD39" s="38" t="s">
        <v>122</v>
      </c>
      <c r="AE39">
        <v>30.538</v>
      </c>
      <c r="AF39">
        <v>-23.699898233309064</v>
      </c>
    </row>
    <row r="40" spans="1:33" ht="18" x14ac:dyDescent="0.25">
      <c r="A40" s="18">
        <v>4</v>
      </c>
      <c r="B40" s="17" t="s">
        <v>110</v>
      </c>
      <c r="C40" s="17" t="s">
        <v>123</v>
      </c>
      <c r="D40" s="17">
        <v>-0.18099999999999999</v>
      </c>
      <c r="E40" s="17">
        <v>1.0309999999999999</v>
      </c>
      <c r="F40" s="17">
        <v>7.0869999999999997</v>
      </c>
      <c r="G40" s="17">
        <v>5774</v>
      </c>
      <c r="H40" s="19">
        <v>0.70367163145133305</v>
      </c>
      <c r="I40" s="19">
        <v>0.191027592139217</v>
      </c>
      <c r="J40" s="17">
        <v>4063</v>
      </c>
      <c r="K40" s="17">
        <v>1710.99999999999</v>
      </c>
      <c r="L40" s="19">
        <v>0.29314574314574299</v>
      </c>
      <c r="M40" s="19">
        <v>0.104546010020774</v>
      </c>
      <c r="N40" s="19">
        <v>3.9317309146103999E-2</v>
      </c>
      <c r="O40" s="20">
        <v>0.182084069897165</v>
      </c>
      <c r="P40" s="20">
        <v>0.19445436682725101</v>
      </c>
      <c r="Q40" s="20">
        <v>0.513165799736092</v>
      </c>
      <c r="R40" s="20">
        <v>36.816541402573399</v>
      </c>
      <c r="S40">
        <f t="shared" si="0"/>
        <v>1.3538125454906309</v>
      </c>
      <c r="T40" t="str">
        <f t="shared" si="1"/>
        <v/>
      </c>
      <c r="U40">
        <f t="shared" si="2"/>
        <v>0</v>
      </c>
      <c r="V40" s="22"/>
      <c r="X40" s="21"/>
      <c r="Y40" s="18"/>
      <c r="Z40" s="23">
        <f t="shared" si="5"/>
        <v>7.6877464489281317</v>
      </c>
      <c r="AA40" s="24">
        <f t="shared" si="4"/>
        <v>309.72000000000003</v>
      </c>
      <c r="AB40" s="46"/>
      <c r="AC40" s="17"/>
    </row>
    <row r="41" spans="1:33" ht="18" x14ac:dyDescent="0.25">
      <c r="A41" s="18">
        <v>5</v>
      </c>
      <c r="B41" s="17" t="s">
        <v>110</v>
      </c>
      <c r="C41" s="17" t="s">
        <v>124</v>
      </c>
      <c r="D41" s="17">
        <v>-0.18099999999999999</v>
      </c>
      <c r="E41" s="17">
        <v>0.73399999999999999</v>
      </c>
      <c r="F41" s="17">
        <v>4.7670000000000003</v>
      </c>
      <c r="G41" s="17">
        <v>1634</v>
      </c>
      <c r="H41" s="19">
        <v>0.63831089351285097</v>
      </c>
      <c r="I41" s="19">
        <v>5.4059419043207803E-2</v>
      </c>
      <c r="J41" s="17">
        <v>1043</v>
      </c>
      <c r="K41" s="17">
        <v>591</v>
      </c>
      <c r="L41" s="19">
        <v>7.5252525252525196E-2</v>
      </c>
      <c r="M41" s="19">
        <v>3.6111450568251199E-2</v>
      </c>
      <c r="N41" s="19">
        <v>6.5360737938481697E-2</v>
      </c>
      <c r="O41" s="20">
        <v>-0.29680318450085902</v>
      </c>
      <c r="P41" s="20">
        <v>2.8738921381014099E-2</v>
      </c>
      <c r="Q41" s="20">
        <v>0.513165799736092</v>
      </c>
      <c r="R41" s="20">
        <v>36.816541402573399</v>
      </c>
      <c r="S41">
        <f t="shared" si="0"/>
        <v>0.25770125057897164</v>
      </c>
      <c r="T41" t="str">
        <f t="shared" si="1"/>
        <v/>
      </c>
      <c r="U41">
        <f t="shared" si="2"/>
        <v>2.3199999999999994</v>
      </c>
      <c r="V41" s="22"/>
      <c r="X41" s="21"/>
      <c r="Y41" s="18">
        <f t="shared" si="3"/>
        <v>260.32</v>
      </c>
      <c r="Z41" s="23">
        <f t="shared" si="5"/>
        <v>5.4984460733794842</v>
      </c>
      <c r="AA41" s="24">
        <f t="shared" si="4"/>
        <v>292.58999999999997</v>
      </c>
      <c r="AB41" s="46"/>
      <c r="AC41" s="17"/>
    </row>
    <row r="42" spans="1:33" ht="108" x14ac:dyDescent="0.25">
      <c r="A42" s="18">
        <v>6</v>
      </c>
      <c r="B42" s="17" t="s">
        <v>110</v>
      </c>
      <c r="C42" s="17" t="s">
        <v>70</v>
      </c>
      <c r="D42" s="17">
        <v>-0.18099999999999999</v>
      </c>
      <c r="E42" s="17">
        <v>-0.66200000000000003</v>
      </c>
      <c r="F42" s="17">
        <v>-6.1459999999999999</v>
      </c>
      <c r="G42" s="17">
        <v>16219</v>
      </c>
      <c r="H42" s="19">
        <v>0.304087798261298</v>
      </c>
      <c r="I42" s="19">
        <v>0.53659101435849899</v>
      </c>
      <c r="J42" s="17">
        <v>4932</v>
      </c>
      <c r="K42" s="17">
        <v>11287</v>
      </c>
      <c r="L42" s="19">
        <v>0.35584415584415502</v>
      </c>
      <c r="M42" s="19">
        <v>0.68966149333985005</v>
      </c>
      <c r="N42" s="19">
        <v>0.33422309525155303</v>
      </c>
      <c r="O42" s="20">
        <v>-1.3959474732660599</v>
      </c>
      <c r="P42" s="20">
        <v>0.22088960854397399</v>
      </c>
      <c r="Q42" s="20">
        <v>0.513165799736092</v>
      </c>
      <c r="R42" s="20">
        <v>36.816541402573399</v>
      </c>
      <c r="S42">
        <f t="shared" si="0"/>
        <v>-3.2978883742473348</v>
      </c>
      <c r="T42">
        <f t="shared" si="1"/>
        <v>4.7997586672939603</v>
      </c>
      <c r="U42">
        <f t="shared" si="2"/>
        <v>13.233000000000001</v>
      </c>
      <c r="V42" t="s">
        <v>125</v>
      </c>
      <c r="W42" s="17" t="s">
        <v>126</v>
      </c>
      <c r="X42" s="21">
        <v>320</v>
      </c>
      <c r="Y42" s="18"/>
      <c r="Z42" s="18" t="str">
        <f t="shared" si="5"/>
        <v/>
      </c>
      <c r="AA42" s="17" t="str">
        <f t="shared" si="4"/>
        <v/>
      </c>
      <c r="AB42" s="45" t="s">
        <v>127</v>
      </c>
      <c r="AC42" s="17"/>
    </row>
    <row r="43" spans="1:33" ht="18" x14ac:dyDescent="0.25">
      <c r="A43" s="26">
        <v>7</v>
      </c>
      <c r="B43" s="27" t="s">
        <v>110</v>
      </c>
      <c r="C43" s="27" t="s">
        <v>128</v>
      </c>
      <c r="D43" s="27">
        <v>-0.18099999999999999</v>
      </c>
      <c r="E43" s="27">
        <v>0.36199999999999999</v>
      </c>
      <c r="F43" s="27">
        <v>1.8580000000000001</v>
      </c>
      <c r="G43" s="27">
        <v>727</v>
      </c>
      <c r="H43" s="28">
        <v>0.548830811554332</v>
      </c>
      <c r="I43" s="28">
        <v>2.40521405412558E-2</v>
      </c>
      <c r="J43" s="27">
        <v>399</v>
      </c>
      <c r="K43" s="27">
        <v>328</v>
      </c>
      <c r="L43" s="28">
        <v>2.8787878787878699E-2</v>
      </c>
      <c r="M43" s="28">
        <v>2.0041549553953299E-2</v>
      </c>
      <c r="N43" s="28">
        <v>0.244743013293034</v>
      </c>
      <c r="O43" s="29">
        <v>1.02385484417711</v>
      </c>
      <c r="P43" s="29">
        <v>3.1674553786440801E-3</v>
      </c>
      <c r="Q43" s="29">
        <v>0.513165799736092</v>
      </c>
      <c r="R43" s="29">
        <v>36.816541402573399</v>
      </c>
      <c r="S43" s="30">
        <f t="shared" si="0"/>
        <v>4.4688877125653281E-2</v>
      </c>
      <c r="T43" s="30" t="str">
        <f t="shared" si="1"/>
        <v/>
      </c>
      <c r="U43" s="30">
        <f t="shared" si="2"/>
        <v>5.2289999999999992</v>
      </c>
      <c r="V43" s="34"/>
      <c r="W43" s="27"/>
      <c r="X43" s="31"/>
      <c r="Y43" s="18"/>
      <c r="Z43" s="26">
        <f t="shared" si="5"/>
        <v>2.7533276283488739</v>
      </c>
      <c r="AA43" s="27">
        <f t="shared" si="4"/>
        <v>271.11</v>
      </c>
      <c r="AB43" s="48"/>
      <c r="AC43" s="17"/>
    </row>
    <row r="44" spans="1:33" ht="108" x14ac:dyDescent="0.25">
      <c r="A44" s="10">
        <v>1</v>
      </c>
      <c r="B44" s="11" t="s">
        <v>101</v>
      </c>
      <c r="C44" s="11" t="s">
        <v>28</v>
      </c>
      <c r="D44" s="11">
        <v>-8.3000000000000004E-2</v>
      </c>
      <c r="E44" s="11">
        <v>-0.71599999999999997</v>
      </c>
      <c r="F44" s="11">
        <v>-3.5489999999999999</v>
      </c>
      <c r="G44" s="11">
        <v>11926</v>
      </c>
      <c r="H44" s="12">
        <v>0.29272178433674301</v>
      </c>
      <c r="I44" s="12">
        <v>0.39456097399589701</v>
      </c>
      <c r="J44" s="11">
        <v>3490.99999999999</v>
      </c>
      <c r="K44" s="11">
        <v>8435</v>
      </c>
      <c r="L44" s="12">
        <v>0.25187590187590098</v>
      </c>
      <c r="M44" s="12">
        <v>0.51539777587681701</v>
      </c>
      <c r="N44" s="12"/>
      <c r="O44" s="13"/>
      <c r="P44" s="13">
        <v>0.18868231256025</v>
      </c>
      <c r="Q44" s="13">
        <v>0.431454562635678</v>
      </c>
      <c r="R44" s="13">
        <v>35.337869626944503</v>
      </c>
      <c r="S44" s="14">
        <f t="shared" si="0"/>
        <v>-1.4002968967114384</v>
      </c>
      <c r="T44" s="14">
        <f t="shared" si="1"/>
        <v>2.5187033656581828</v>
      </c>
      <c r="U44">
        <f t="shared" si="2"/>
        <v>6.3729999999999993</v>
      </c>
      <c r="V44" s="15" t="s">
        <v>129</v>
      </c>
      <c r="W44" s="11" t="s">
        <v>130</v>
      </c>
      <c r="X44" s="11">
        <v>280.14999999999998</v>
      </c>
      <c r="Y44" s="10">
        <f t="shared" si="3"/>
        <v>278.36</v>
      </c>
      <c r="Z44" s="10" t="str">
        <f t="shared" si="5"/>
        <v/>
      </c>
      <c r="AA44" s="11" t="str">
        <f t="shared" si="4"/>
        <v/>
      </c>
      <c r="AB44" s="44" t="s">
        <v>131</v>
      </c>
      <c r="AC44" s="17"/>
    </row>
    <row r="45" spans="1:33" ht="18" x14ac:dyDescent="0.25">
      <c r="A45" s="18">
        <v>2</v>
      </c>
      <c r="B45" s="17" t="s">
        <v>101</v>
      </c>
      <c r="C45" s="17" t="s">
        <v>132</v>
      </c>
      <c r="D45" s="17">
        <v>-8.3000000000000004E-2</v>
      </c>
      <c r="E45" s="17">
        <v>6.0000000000000001E-3</v>
      </c>
      <c r="F45" s="17">
        <v>-0.95199999999999996</v>
      </c>
      <c r="G45" s="17">
        <v>1861</v>
      </c>
      <c r="H45" s="19">
        <v>0.45996775926921002</v>
      </c>
      <c r="I45" s="19">
        <v>6.1569509693641201E-2</v>
      </c>
      <c r="J45" s="17">
        <v>856</v>
      </c>
      <c r="K45" s="17">
        <v>1005</v>
      </c>
      <c r="L45" s="19">
        <v>6.1760461760461703E-2</v>
      </c>
      <c r="M45" s="19">
        <v>6.1407796651594702E-2</v>
      </c>
      <c r="N45" s="19">
        <v>0.16724597493246601</v>
      </c>
      <c r="O45" s="20">
        <v>0.72172904352359801</v>
      </c>
      <c r="P45" s="20">
        <v>2.0195628403230999E-6</v>
      </c>
      <c r="Q45" s="20">
        <v>0.431454562635678</v>
      </c>
      <c r="R45" s="20">
        <v>35.337869626944503</v>
      </c>
      <c r="S45">
        <f t="shared" si="0"/>
        <v>-5.8614173228346424E-2</v>
      </c>
      <c r="T45" t="str">
        <f t="shared" si="1"/>
        <v/>
      </c>
      <c r="U45">
        <f t="shared" si="2"/>
        <v>3.7759999999999998</v>
      </c>
      <c r="V45" s="22"/>
      <c r="X45" s="17"/>
      <c r="Y45" s="18">
        <f t="shared" si="3"/>
        <v>266.8</v>
      </c>
      <c r="Z45" s="18">
        <f t="shared" si="5"/>
        <v>5.6126907831335671E-2</v>
      </c>
      <c r="AA45" s="17">
        <f t="shared" si="4"/>
        <v>250</v>
      </c>
      <c r="AB45" s="45"/>
      <c r="AC45" s="17"/>
    </row>
    <row r="46" spans="1:33" ht="18" x14ac:dyDescent="0.25">
      <c r="A46" s="18">
        <v>3</v>
      </c>
      <c r="B46" s="17" t="s">
        <v>101</v>
      </c>
      <c r="C46" s="17" t="s">
        <v>133</v>
      </c>
      <c r="D46" s="17">
        <v>-8.3000000000000004E-2</v>
      </c>
      <c r="E46" s="17">
        <v>0.30499999999999999</v>
      </c>
      <c r="F46" s="17">
        <v>0.126</v>
      </c>
      <c r="G46" s="17">
        <v>1842</v>
      </c>
      <c r="H46" s="19">
        <v>0.53474484256243204</v>
      </c>
      <c r="I46" s="19">
        <v>6.0940911797789897E-2</v>
      </c>
      <c r="J46" s="17">
        <v>985</v>
      </c>
      <c r="K46" s="17">
        <v>857</v>
      </c>
      <c r="L46" s="19">
        <v>7.1067821067821002E-2</v>
      </c>
      <c r="M46" s="19">
        <v>5.2364658438225499E-2</v>
      </c>
      <c r="N46" s="19">
        <v>7.4777083293221996E-2</v>
      </c>
      <c r="O46" s="20">
        <v>0.299676166925743</v>
      </c>
      <c r="P46" s="20">
        <v>5.7119971309087404E-3</v>
      </c>
      <c r="Q46" s="20">
        <v>0.431454562635678</v>
      </c>
      <c r="R46" s="20">
        <v>35.337869626944503</v>
      </c>
      <c r="S46">
        <f t="shared" si="0"/>
        <v>7.678554886521527E-3</v>
      </c>
      <c r="T46" t="str">
        <f t="shared" si="1"/>
        <v/>
      </c>
      <c r="U46">
        <f t="shared" si="2"/>
        <v>2.698</v>
      </c>
      <c r="V46" s="22"/>
      <c r="X46" s="17"/>
      <c r="Y46" s="18">
        <f t="shared" si="3"/>
        <v>262.01</v>
      </c>
      <c r="Z46" s="18">
        <f t="shared" si="5"/>
        <v>1.1249243798458528</v>
      </c>
      <c r="AA46" s="17">
        <f>IF(Z46="","",ROUND(250+(Z46-MIN($Z$2:$Z$62))*(550-250)/(MAX($Z$2:$Z$62)-MIN($Z$2:$Z$62)),2))</f>
        <v>258.36</v>
      </c>
      <c r="AB46" s="45"/>
      <c r="AC46" s="17"/>
    </row>
    <row r="47" spans="1:33" ht="18" x14ac:dyDescent="0.25">
      <c r="A47" s="18">
        <v>4</v>
      </c>
      <c r="B47" s="17" t="s">
        <v>101</v>
      </c>
      <c r="C47" s="17" t="s">
        <v>134</v>
      </c>
      <c r="D47" s="17">
        <v>-8.3000000000000004E-2</v>
      </c>
      <c r="E47" s="17">
        <v>0.49399999999999999</v>
      </c>
      <c r="F47" s="17">
        <v>0.80300000000000005</v>
      </c>
      <c r="G47" s="17">
        <v>1812</v>
      </c>
      <c r="H47" s="19">
        <v>0.58112582781456901</v>
      </c>
      <c r="I47" s="19">
        <v>5.9948388804340599E-2</v>
      </c>
      <c r="J47" s="17">
        <v>1053</v>
      </c>
      <c r="K47" s="17">
        <v>759</v>
      </c>
      <c r="L47" s="19">
        <v>7.5974025974025902E-2</v>
      </c>
      <c r="M47" s="19">
        <v>4.6376634486129699E-2</v>
      </c>
      <c r="N47" s="19">
        <v>4.6380985252137401E-2</v>
      </c>
      <c r="O47" s="20">
        <v>0.188193012164036</v>
      </c>
      <c r="P47" s="20">
        <v>1.46091467407243E-2</v>
      </c>
      <c r="Q47" s="20">
        <v>0.431454562635678</v>
      </c>
      <c r="R47" s="20">
        <v>35.337869626944503</v>
      </c>
      <c r="S47">
        <f t="shared" si="0"/>
        <v>4.8138556209885504E-2</v>
      </c>
      <c r="T47" t="str">
        <f t="shared" si="1"/>
        <v/>
      </c>
      <c r="U47">
        <f t="shared" si="2"/>
        <v>2.0209999999999999</v>
      </c>
      <c r="V47" s="22"/>
      <c r="X47" s="17"/>
      <c r="Y47" s="18">
        <f t="shared" si="3"/>
        <v>258.99</v>
      </c>
      <c r="Z47" s="23">
        <f t="shared" si="5"/>
        <v>1.7961450556842833</v>
      </c>
      <c r="AA47" s="24">
        <f t="shared" si="4"/>
        <v>263.62</v>
      </c>
      <c r="AB47" s="46"/>
      <c r="AC47" s="17"/>
    </row>
    <row r="48" spans="1:33" ht="18" x14ac:dyDescent="0.25">
      <c r="A48" s="18">
        <v>5</v>
      </c>
      <c r="B48" s="17" t="s">
        <v>101</v>
      </c>
      <c r="C48" s="17" t="s">
        <v>135</v>
      </c>
      <c r="D48" s="17">
        <v>-8.3000000000000004E-2</v>
      </c>
      <c r="E48" s="17">
        <v>0.59499999999999997</v>
      </c>
      <c r="F48" s="17">
        <v>1.1679999999999999</v>
      </c>
      <c r="G48" s="17">
        <v>1818</v>
      </c>
      <c r="H48" s="19">
        <v>0.605610561056105</v>
      </c>
      <c r="I48" s="19">
        <v>6.0146893403030498E-2</v>
      </c>
      <c r="J48" s="17">
        <v>1101</v>
      </c>
      <c r="K48" s="17">
        <v>717</v>
      </c>
      <c r="L48" s="19">
        <v>7.9437229437229404E-2</v>
      </c>
      <c r="M48" s="19">
        <v>4.38103385066601E-2</v>
      </c>
      <c r="N48" s="19">
        <v>2.44847332415359E-2</v>
      </c>
      <c r="O48" s="20">
        <v>0.101501561384713</v>
      </c>
      <c r="P48" s="20">
        <v>2.12014671155724E-2</v>
      </c>
      <c r="Q48" s="20">
        <v>0.431454562635678</v>
      </c>
      <c r="R48" s="20">
        <v>35.337869626944503</v>
      </c>
      <c r="S48">
        <f t="shared" si="0"/>
        <v>7.0251571494739623E-2</v>
      </c>
      <c r="T48" t="str">
        <f t="shared" si="1"/>
        <v/>
      </c>
      <c r="U48">
        <f t="shared" si="2"/>
        <v>1.6559999999999999</v>
      </c>
      <c r="V48" s="22"/>
      <c r="X48" s="17"/>
      <c r="Y48" s="39">
        <f t="shared" si="3"/>
        <v>257.37</v>
      </c>
      <c r="Z48" s="23">
        <f t="shared" si="5"/>
        <v>2.1580291719044116</v>
      </c>
      <c r="AA48" s="24">
        <f t="shared" si="4"/>
        <v>266.45</v>
      </c>
      <c r="AB48" s="46"/>
      <c r="AC48" s="40"/>
    </row>
    <row r="49" spans="1:29" ht="18" x14ac:dyDescent="0.25">
      <c r="A49" s="18">
        <v>6</v>
      </c>
      <c r="B49" s="17" t="s">
        <v>101</v>
      </c>
      <c r="C49" s="17" t="s">
        <v>136</v>
      </c>
      <c r="D49" s="17">
        <v>-8.3000000000000004E-2</v>
      </c>
      <c r="E49" s="17">
        <v>1.0549999999999999</v>
      </c>
      <c r="F49" s="17">
        <v>2.8239999999999998</v>
      </c>
      <c r="G49" s="17">
        <v>5702</v>
      </c>
      <c r="H49" s="19">
        <v>0.70869870220975095</v>
      </c>
      <c r="I49" s="19">
        <v>0.18864553695493899</v>
      </c>
      <c r="J49" s="17">
        <v>4041</v>
      </c>
      <c r="K49" s="17">
        <v>1661</v>
      </c>
      <c r="L49" s="19">
        <v>0.29155844155844102</v>
      </c>
      <c r="M49" s="19">
        <v>0.101490895759501</v>
      </c>
      <c r="N49" s="19">
        <v>0.10308814115364499</v>
      </c>
      <c r="O49" s="20">
        <v>0.46017405934211902</v>
      </c>
      <c r="P49" s="20">
        <v>0.20057284017167801</v>
      </c>
      <c r="Q49" s="20">
        <v>0.431454562635678</v>
      </c>
      <c r="R49" s="20">
        <v>35.337869626944503</v>
      </c>
      <c r="S49">
        <f t="shared" si="0"/>
        <v>0.53273499636074773</v>
      </c>
      <c r="T49" t="str">
        <f t="shared" si="1"/>
        <v/>
      </c>
      <c r="U49">
        <f t="shared" si="2"/>
        <v>0</v>
      </c>
      <c r="V49" s="22"/>
      <c r="X49" s="17"/>
      <c r="Y49" s="18"/>
      <c r="Z49" s="23">
        <f t="shared" si="5"/>
        <v>3.7998924498784752</v>
      </c>
      <c r="AA49" s="24">
        <f t="shared" si="4"/>
        <v>279.3</v>
      </c>
      <c r="AB49" s="46"/>
      <c r="AC49" s="17"/>
    </row>
    <row r="50" spans="1:29" ht="108" x14ac:dyDescent="0.25">
      <c r="A50" s="26">
        <v>7</v>
      </c>
      <c r="B50" s="27" t="s">
        <v>101</v>
      </c>
      <c r="C50" s="27" t="s">
        <v>70</v>
      </c>
      <c r="D50" s="27">
        <v>-8.3000000000000004E-2</v>
      </c>
      <c r="E50" s="27">
        <v>-6.2E-2</v>
      </c>
      <c r="F50" s="27">
        <v>-1.1970000000000001</v>
      </c>
      <c r="G50" s="27">
        <v>5265</v>
      </c>
      <c r="H50" s="28">
        <v>0.44311490978157603</v>
      </c>
      <c r="I50" s="28">
        <v>0.17418778535036</v>
      </c>
      <c r="J50" s="27">
        <v>2333</v>
      </c>
      <c r="K50" s="27">
        <v>2931.99999999999</v>
      </c>
      <c r="L50" s="28">
        <v>0.16832611832611799</v>
      </c>
      <c r="M50" s="28">
        <v>0.17915190028107</v>
      </c>
      <c r="N50" s="28">
        <v>0.26558379242817398</v>
      </c>
      <c r="O50" s="29">
        <v>-1.1176021464502901</v>
      </c>
      <c r="P50" s="29">
        <v>6.74779353702515E-4</v>
      </c>
      <c r="Q50" s="29">
        <v>0.431454562635678</v>
      </c>
      <c r="R50" s="29">
        <v>35.337869626944503</v>
      </c>
      <c r="S50" s="30">
        <f t="shared" si="0"/>
        <v>-0.20850277906438094</v>
      </c>
      <c r="T50" s="30">
        <f t="shared" si="1"/>
        <v>0.18678160853560011</v>
      </c>
      <c r="U50" s="30">
        <f t="shared" si="2"/>
        <v>4.0209999999999999</v>
      </c>
      <c r="V50" s="30" t="s">
        <v>137</v>
      </c>
      <c r="W50" s="27" t="s">
        <v>138</v>
      </c>
      <c r="X50" s="27">
        <v>279</v>
      </c>
      <c r="Y50" s="26"/>
      <c r="Z50" s="26" t="str">
        <f t="shared" si="5"/>
        <v/>
      </c>
      <c r="AA50" s="27" t="str">
        <f t="shared" si="4"/>
        <v/>
      </c>
      <c r="AB50" s="49" t="s">
        <v>169</v>
      </c>
      <c r="AC50" s="17"/>
    </row>
    <row r="51" spans="1:29" ht="108" x14ac:dyDescent="0.25">
      <c r="A51" s="10">
        <v>1</v>
      </c>
      <c r="B51" s="11" t="s">
        <v>117</v>
      </c>
      <c r="C51" s="11" t="s">
        <v>28</v>
      </c>
      <c r="D51" s="11">
        <v>-4.9000000000000002E-2</v>
      </c>
      <c r="E51" s="11">
        <v>-2.048</v>
      </c>
      <c r="F51" s="11">
        <v>-5.3109999999999999</v>
      </c>
      <c r="G51" s="11">
        <v>4428</v>
      </c>
      <c r="H51" s="12">
        <v>9.8464317976513102E-2</v>
      </c>
      <c r="I51" s="12">
        <v>0.14649639383312299</v>
      </c>
      <c r="J51" s="11">
        <v>436</v>
      </c>
      <c r="K51" s="11">
        <v>3992</v>
      </c>
      <c r="L51" s="12">
        <v>3.1457431457431399E-2</v>
      </c>
      <c r="M51" s="12">
        <v>0.24392032262006599</v>
      </c>
      <c r="N51" s="12"/>
      <c r="O51" s="13"/>
      <c r="P51" s="13">
        <v>0.43516784828722499</v>
      </c>
      <c r="Q51" s="13">
        <v>0.82286067105143901</v>
      </c>
      <c r="R51" s="13">
        <v>44.681898681654197</v>
      </c>
      <c r="S51" s="14">
        <f t="shared" si="0"/>
        <v>-0.77804234764771618</v>
      </c>
      <c r="T51" s="14">
        <f t="shared" si="1"/>
        <v>3.5487083538766049</v>
      </c>
      <c r="U51">
        <f t="shared" si="2"/>
        <v>6.0039999999999996</v>
      </c>
      <c r="V51" s="22" t="s">
        <v>153</v>
      </c>
      <c r="W51" s="17" t="s">
        <v>139</v>
      </c>
      <c r="X51" s="16">
        <v>293.02</v>
      </c>
      <c r="Y51" s="18">
        <f t="shared" si="3"/>
        <v>276.72000000000003</v>
      </c>
      <c r="Z51" s="10" t="str">
        <f t="shared" si="5"/>
        <v/>
      </c>
      <c r="AA51" s="11" t="str">
        <f t="shared" si="4"/>
        <v/>
      </c>
      <c r="AB51" s="52" t="s">
        <v>171</v>
      </c>
      <c r="AC51" s="17"/>
    </row>
    <row r="52" spans="1:29" ht="108" x14ac:dyDescent="0.25">
      <c r="A52" s="18">
        <v>2</v>
      </c>
      <c r="B52" s="17" t="s">
        <v>117</v>
      </c>
      <c r="C52" s="17" t="s">
        <v>31</v>
      </c>
      <c r="D52" s="17">
        <v>-4.9000000000000002E-2</v>
      </c>
      <c r="E52" s="17">
        <v>-0.92900000000000005</v>
      </c>
      <c r="F52" s="17">
        <v>-2.9409999999999998</v>
      </c>
      <c r="G52" s="17">
        <v>1580</v>
      </c>
      <c r="H52" s="19">
        <v>0.25063291139240501</v>
      </c>
      <c r="I52" s="19">
        <v>5.2272877654999002E-2</v>
      </c>
      <c r="J52" s="17">
        <v>396</v>
      </c>
      <c r="K52" s="17">
        <v>1184</v>
      </c>
      <c r="L52" s="19">
        <v>2.8571428571428501E-2</v>
      </c>
      <c r="M52" s="19">
        <v>7.2345105706953405E-2</v>
      </c>
      <c r="N52" s="19">
        <v>0.15216859341589101</v>
      </c>
      <c r="O52" s="20">
        <v>1.11916578989285</v>
      </c>
      <c r="P52" s="20">
        <v>4.0667522650623303E-2</v>
      </c>
      <c r="Q52" s="20">
        <v>0.82286067105143901</v>
      </c>
      <c r="R52" s="20">
        <v>44.681898681654197</v>
      </c>
      <c r="S52">
        <f t="shared" si="0"/>
        <v>-0.15373453318335206</v>
      </c>
      <c r="T52">
        <f t="shared" si="1"/>
        <v>1.5188761567974194</v>
      </c>
      <c r="U52">
        <f t="shared" si="2"/>
        <v>3.6339999999999999</v>
      </c>
      <c r="V52" s="22" t="s">
        <v>154</v>
      </c>
      <c r="W52" s="17" t="s">
        <v>140</v>
      </c>
      <c r="X52" s="21">
        <v>267.66000000000003</v>
      </c>
      <c r="Y52" s="18">
        <f t="shared" si="3"/>
        <v>266.17</v>
      </c>
      <c r="Z52" s="18" t="str">
        <f t="shared" si="5"/>
        <v/>
      </c>
      <c r="AA52" s="17" t="str">
        <f t="shared" si="4"/>
        <v/>
      </c>
      <c r="AB52" s="53" t="s">
        <v>172</v>
      </c>
      <c r="AC52" s="17"/>
    </row>
    <row r="53" spans="1:29" ht="126" x14ac:dyDescent="0.25">
      <c r="A53" s="18">
        <v>3</v>
      </c>
      <c r="B53" s="17" t="s">
        <v>117</v>
      </c>
      <c r="C53" s="17" t="s">
        <v>141</v>
      </c>
      <c r="D53" s="17">
        <v>-4.9000000000000002E-2</v>
      </c>
      <c r="E53" s="17">
        <v>-0.15</v>
      </c>
      <c r="F53" s="17">
        <v>-1.2909999999999999</v>
      </c>
      <c r="G53" s="17">
        <v>2009</v>
      </c>
      <c r="H53" s="19">
        <v>0.42160278745644503</v>
      </c>
      <c r="I53" s="19">
        <v>6.6465956461324693E-2</v>
      </c>
      <c r="J53" s="17">
        <v>847</v>
      </c>
      <c r="K53" s="17">
        <v>1162</v>
      </c>
      <c r="L53" s="19">
        <v>6.1111111111111102E-2</v>
      </c>
      <c r="M53" s="19">
        <v>7.1000855431993096E-2</v>
      </c>
      <c r="N53" s="19">
        <v>0.17096987606403999</v>
      </c>
      <c r="O53" s="20">
        <v>0.77904236142966798</v>
      </c>
      <c r="P53" s="20">
        <v>1.4834440880641701E-3</v>
      </c>
      <c r="Q53" s="20">
        <v>0.82286067105143901</v>
      </c>
      <c r="R53" s="20">
        <v>44.681898681654197</v>
      </c>
      <c r="S53">
        <f t="shared" si="0"/>
        <v>-8.5807549791570167E-2</v>
      </c>
      <c r="T53">
        <f t="shared" si="1"/>
        <v>0.10570184237520173</v>
      </c>
      <c r="U53">
        <f t="shared" si="2"/>
        <v>1.984</v>
      </c>
      <c r="V53" s="22" t="s">
        <v>155</v>
      </c>
      <c r="W53" s="17" t="s">
        <v>142</v>
      </c>
      <c r="X53" s="21">
        <v>250</v>
      </c>
      <c r="Y53" s="18">
        <f t="shared" si="3"/>
        <v>258.83</v>
      </c>
      <c r="Z53" s="18" t="str">
        <f t="shared" si="5"/>
        <v/>
      </c>
      <c r="AA53" s="17" t="str">
        <f t="shared" si="4"/>
        <v/>
      </c>
      <c r="AB53" s="53" t="s">
        <v>173</v>
      </c>
      <c r="AC53" s="17"/>
    </row>
    <row r="54" spans="1:29" ht="18" x14ac:dyDescent="0.25">
      <c r="A54" s="18">
        <v>4</v>
      </c>
      <c r="B54" s="17" t="s">
        <v>117</v>
      </c>
      <c r="C54" s="17" t="s">
        <v>143</v>
      </c>
      <c r="D54" s="17">
        <v>-4.9000000000000002E-2</v>
      </c>
      <c r="E54" s="17">
        <v>0.377</v>
      </c>
      <c r="F54" s="17">
        <v>-0.17399999999999999</v>
      </c>
      <c r="G54" s="17">
        <v>2590</v>
      </c>
      <c r="H54" s="19">
        <v>0.55250965250965201</v>
      </c>
      <c r="I54" s="19">
        <v>8.5687818434460397E-2</v>
      </c>
      <c r="J54" s="17">
        <v>1431</v>
      </c>
      <c r="K54" s="17">
        <v>1158.99999999999</v>
      </c>
      <c r="L54" s="19">
        <v>0.103246753246753</v>
      </c>
      <c r="M54" s="19">
        <v>7.0817548576316697E-2</v>
      </c>
      <c r="N54" s="19">
        <v>0.13090686505320601</v>
      </c>
      <c r="O54" s="20">
        <v>0.52701317897650102</v>
      </c>
      <c r="P54" s="20">
        <v>1.22262951252458E-2</v>
      </c>
      <c r="Q54" s="20">
        <v>0.82286067105143901</v>
      </c>
      <c r="R54" s="20">
        <v>44.681898681654197</v>
      </c>
      <c r="S54">
        <f t="shared" si="0"/>
        <v>-1.4909680407596108E-2</v>
      </c>
      <c r="T54" t="str">
        <f t="shared" si="1"/>
        <v/>
      </c>
      <c r="U54">
        <f t="shared" si="2"/>
        <v>0.86699999999999999</v>
      </c>
      <c r="V54" s="22"/>
      <c r="X54" s="21"/>
      <c r="Y54" s="39">
        <f t="shared" si="3"/>
        <v>253.86</v>
      </c>
      <c r="Z54" s="18">
        <f t="shared" si="5"/>
        <v>0.85097434502456615</v>
      </c>
      <c r="AA54" s="17">
        <f t="shared" si="4"/>
        <v>256.22000000000003</v>
      </c>
      <c r="AB54" s="45"/>
      <c r="AC54" s="40"/>
    </row>
    <row r="55" spans="1:29" ht="18" x14ac:dyDescent="0.25">
      <c r="A55" s="18">
        <v>5</v>
      </c>
      <c r="B55" s="17" t="s">
        <v>117</v>
      </c>
      <c r="C55" s="17" t="s">
        <v>144</v>
      </c>
      <c r="D55" s="17">
        <v>-4.9000000000000002E-2</v>
      </c>
      <c r="E55" s="17">
        <v>0.78700000000000003</v>
      </c>
      <c r="F55" s="17">
        <v>0.69299999999999995</v>
      </c>
      <c r="G55" s="17">
        <v>13459</v>
      </c>
      <c r="H55" s="19">
        <v>0.65034549372167305</v>
      </c>
      <c r="I55" s="19">
        <v>0.44527889896115902</v>
      </c>
      <c r="J55" s="17">
        <v>8753</v>
      </c>
      <c r="K55" s="17">
        <v>4705.99999999999</v>
      </c>
      <c r="L55" s="19">
        <v>0.63152958152958105</v>
      </c>
      <c r="M55" s="19">
        <v>0.28754735427104899</v>
      </c>
      <c r="N55" s="19">
        <v>9.7835841212020699E-2</v>
      </c>
      <c r="O55" s="20">
        <v>0.40974227222843002</v>
      </c>
      <c r="P55" s="20">
        <v>0.270630503182475</v>
      </c>
      <c r="Q55" s="20">
        <v>0.82286067105143901</v>
      </c>
      <c r="R55" s="20">
        <v>44.681898681654197</v>
      </c>
      <c r="S55">
        <f t="shared" si="0"/>
        <v>0.30857827698008317</v>
      </c>
      <c r="T55" t="str">
        <f t="shared" si="1"/>
        <v/>
      </c>
      <c r="U55">
        <f t="shared" si="2"/>
        <v>0</v>
      </c>
      <c r="V55" s="22"/>
      <c r="X55" s="21"/>
      <c r="Y55" s="18"/>
      <c r="Z55" s="23">
        <f t="shared" si="5"/>
        <v>1.5935332120573316</v>
      </c>
      <c r="AA55" s="24">
        <f t="shared" si="4"/>
        <v>262.02999999999997</v>
      </c>
      <c r="AB55" s="46"/>
      <c r="AC55" s="17"/>
    </row>
    <row r="56" spans="1:29" ht="18" x14ac:dyDescent="0.25">
      <c r="A56" s="26">
        <v>6</v>
      </c>
      <c r="B56" s="27" t="s">
        <v>117</v>
      </c>
      <c r="C56" s="27" t="s">
        <v>70</v>
      </c>
      <c r="D56" s="27">
        <v>-4.9000000000000002E-2</v>
      </c>
      <c r="E56" s="27">
        <v>-0.56799999999999995</v>
      </c>
      <c r="F56" s="27">
        <v>-2.177</v>
      </c>
      <c r="G56" s="27">
        <v>6160</v>
      </c>
      <c r="H56" s="28">
        <v>0.32418831168831103</v>
      </c>
      <c r="I56" s="28">
        <v>0.203798054654932</v>
      </c>
      <c r="J56" s="27">
        <v>1997</v>
      </c>
      <c r="K56" s="27">
        <v>4163</v>
      </c>
      <c r="L56" s="28">
        <v>0.14408369408369401</v>
      </c>
      <c r="M56" s="28">
        <v>0.25436881339362</v>
      </c>
      <c r="N56" s="28">
        <v>0.32615718203336103</v>
      </c>
      <c r="O56" s="29">
        <v>-1.35514812222429</v>
      </c>
      <c r="P56" s="29">
        <v>6.2685057717805304E-2</v>
      </c>
      <c r="Q56" s="29">
        <v>0.82286067105143901</v>
      </c>
      <c r="R56" s="29">
        <v>44.681898681654197</v>
      </c>
      <c r="S56" s="30">
        <f t="shared" si="0"/>
        <v>-0.44366836498378698</v>
      </c>
      <c r="T56" s="30">
        <f t="shared" si="1"/>
        <v>0.86453362575585935</v>
      </c>
      <c r="U56" s="30">
        <f t="shared" si="2"/>
        <v>2.87</v>
      </c>
      <c r="V56" s="34"/>
      <c r="W56" s="27"/>
      <c r="X56" s="31"/>
      <c r="Y56" s="26"/>
      <c r="Z56" s="26" t="str">
        <f t="shared" si="5"/>
        <v/>
      </c>
      <c r="AA56" s="27" t="str">
        <f t="shared" si="4"/>
        <v/>
      </c>
      <c r="AB56" s="48"/>
      <c r="AC56" s="17"/>
    </row>
    <row r="57" spans="1:29" ht="18" x14ac:dyDescent="0.25">
      <c r="A57" s="10">
        <v>1</v>
      </c>
      <c r="B57" s="11" t="s">
        <v>87</v>
      </c>
      <c r="C57" s="11" t="s">
        <v>35</v>
      </c>
      <c r="D57" s="11">
        <v>-1.7000000000000001E-2</v>
      </c>
      <c r="E57" s="11">
        <v>0.54800000000000004</v>
      </c>
      <c r="F57" s="11">
        <v>-0.56899999999999995</v>
      </c>
      <c r="G57" s="11">
        <v>1765</v>
      </c>
      <c r="H57" s="12">
        <v>0.59433427762039603</v>
      </c>
      <c r="I57" s="12">
        <v>5.8393436114603299E-2</v>
      </c>
      <c r="J57" s="11">
        <v>1049</v>
      </c>
      <c r="K57" s="11">
        <v>716</v>
      </c>
      <c r="L57" s="12">
        <v>7.5685425685425606E-2</v>
      </c>
      <c r="M57" s="12">
        <v>4.3749236221434597E-2</v>
      </c>
      <c r="N57" s="12"/>
      <c r="O57" s="13"/>
      <c r="P57" s="13">
        <v>1.7504591426889499E-2</v>
      </c>
      <c r="Q57" s="13">
        <v>0.549643328183822</v>
      </c>
      <c r="R57" s="13">
        <v>36.838340722918502</v>
      </c>
      <c r="S57" s="14">
        <f t="shared" si="0"/>
        <v>-3.3225865149209277E-2</v>
      </c>
      <c r="T57" s="14" t="str">
        <f t="shared" si="1"/>
        <v/>
      </c>
      <c r="U57">
        <f t="shared" si="2"/>
        <v>0.45899999999999996</v>
      </c>
      <c r="W57" s="11"/>
      <c r="X57" s="16"/>
      <c r="Y57" s="41">
        <f t="shared" si="3"/>
        <v>252.04</v>
      </c>
      <c r="Z57" s="23">
        <f t="shared" si="5"/>
        <v>0.41865767901060924</v>
      </c>
      <c r="AA57" s="24">
        <f t="shared" si="4"/>
        <v>252.84</v>
      </c>
      <c r="AB57" s="46"/>
      <c r="AC57" s="40"/>
    </row>
    <row r="58" spans="1:29" ht="18" x14ac:dyDescent="0.25">
      <c r="A58" s="18">
        <v>2</v>
      </c>
      <c r="B58" s="17" t="s">
        <v>87</v>
      </c>
      <c r="C58" s="17" t="s">
        <v>145</v>
      </c>
      <c r="D58" s="17">
        <v>-1.7000000000000001E-2</v>
      </c>
      <c r="E58" s="17">
        <v>0.73599999999999999</v>
      </c>
      <c r="F58" s="17">
        <v>-0.43</v>
      </c>
      <c r="G58" s="17">
        <v>2910</v>
      </c>
      <c r="H58" s="19">
        <v>0.63883161512027398</v>
      </c>
      <c r="I58" s="19">
        <v>9.6274730364586697E-2</v>
      </c>
      <c r="J58" s="17">
        <v>1858.99999999999</v>
      </c>
      <c r="K58" s="17">
        <v>1051</v>
      </c>
      <c r="L58" s="19">
        <v>0.13412698412698401</v>
      </c>
      <c r="M58" s="19">
        <v>6.4218501771966197E-2</v>
      </c>
      <c r="N58" s="19">
        <v>4.4497337499878199E-2</v>
      </c>
      <c r="O58" s="20">
        <v>0.188384175408841</v>
      </c>
      <c r="P58" s="20">
        <v>5.1487292117082702E-2</v>
      </c>
      <c r="Q58" s="20">
        <v>0.549643328183822</v>
      </c>
      <c r="R58" s="20">
        <v>36.838340722918502</v>
      </c>
      <c r="S58">
        <f t="shared" si="0"/>
        <v>-4.1398134056772277E-2</v>
      </c>
      <c r="T58" t="str">
        <f t="shared" si="1"/>
        <v/>
      </c>
      <c r="U58">
        <f t="shared" si="2"/>
        <v>0.32</v>
      </c>
      <c r="V58" s="22"/>
      <c r="X58" s="21"/>
      <c r="Y58" s="41">
        <f t="shared" si="3"/>
        <v>251.42</v>
      </c>
      <c r="Z58" s="23">
        <f t="shared" si="5"/>
        <v>0.56067276269694555</v>
      </c>
      <c r="AA58" s="24">
        <f t="shared" si="4"/>
        <v>253.95</v>
      </c>
      <c r="AB58" s="46"/>
      <c r="AC58" s="40"/>
    </row>
    <row r="59" spans="1:29" ht="18" x14ac:dyDescent="0.25">
      <c r="A59" s="18">
        <v>3</v>
      </c>
      <c r="B59" s="17" t="s">
        <v>87</v>
      </c>
      <c r="C59" s="17" t="s">
        <v>146</v>
      </c>
      <c r="D59" s="17">
        <v>-1.7000000000000001E-2</v>
      </c>
      <c r="E59" s="17">
        <v>0.85899999999999999</v>
      </c>
      <c r="F59" s="17">
        <v>-0.33900000000000002</v>
      </c>
      <c r="G59" s="17">
        <v>1089</v>
      </c>
      <c r="H59" s="19">
        <v>0.66666666666666596</v>
      </c>
      <c r="I59" s="19">
        <v>3.6028584662211302E-2</v>
      </c>
      <c r="J59" s="17">
        <v>726</v>
      </c>
      <c r="K59" s="17">
        <v>363</v>
      </c>
      <c r="L59" s="19">
        <v>5.2380952380952299E-2</v>
      </c>
      <c r="M59" s="19">
        <v>2.21801295368446E-2</v>
      </c>
      <c r="N59" s="19">
        <v>2.7835051546391699E-2</v>
      </c>
      <c r="O59" s="20">
        <v>0.122850563715452</v>
      </c>
      <c r="P59" s="20">
        <v>2.59529623148382E-2</v>
      </c>
      <c r="Q59" s="20">
        <v>0.549643328183822</v>
      </c>
      <c r="R59" s="20">
        <v>36.838340722918502</v>
      </c>
      <c r="S59">
        <f t="shared" si="0"/>
        <v>-1.2213690200489633E-2</v>
      </c>
      <c r="T59" t="str">
        <f t="shared" si="1"/>
        <v/>
      </c>
      <c r="U59">
        <f t="shared" si="2"/>
        <v>0.22900000000000004</v>
      </c>
      <c r="V59" s="22"/>
      <c r="X59" s="21"/>
      <c r="Y59" s="41">
        <f t="shared" si="3"/>
        <v>251.02</v>
      </c>
      <c r="Z59" s="23">
        <f t="shared" si="5"/>
        <v>0.65364666640526636</v>
      </c>
      <c r="AA59" s="24">
        <f t="shared" si="4"/>
        <v>254.68</v>
      </c>
      <c r="AB59" s="46"/>
      <c r="AC59" s="40"/>
    </row>
    <row r="60" spans="1:29" ht="18" x14ac:dyDescent="0.25">
      <c r="A60" s="18">
        <v>4</v>
      </c>
      <c r="B60" s="17" t="s">
        <v>87</v>
      </c>
      <c r="C60" s="17" t="s">
        <v>147</v>
      </c>
      <c r="D60" s="17">
        <v>-1.7000000000000001E-2</v>
      </c>
      <c r="E60" s="17">
        <v>0.95</v>
      </c>
      <c r="F60" s="17">
        <v>-0.27200000000000002</v>
      </c>
      <c r="G60" s="17">
        <v>3292</v>
      </c>
      <c r="H60" s="19">
        <v>0.68651275820170099</v>
      </c>
      <c r="I60" s="19">
        <v>0.108912856481175</v>
      </c>
      <c r="J60" s="17">
        <v>2260</v>
      </c>
      <c r="K60" s="17">
        <v>1032</v>
      </c>
      <c r="L60" s="19">
        <v>0.16305916305916299</v>
      </c>
      <c r="M60" s="19">
        <v>6.3057558352682397E-2</v>
      </c>
      <c r="N60" s="19">
        <v>1.9846091535034398E-2</v>
      </c>
      <c r="O60" s="20">
        <v>9.0718965664878304E-2</v>
      </c>
      <c r="P60" s="20">
        <v>9.5008041032552198E-2</v>
      </c>
      <c r="Q60" s="20">
        <v>0.549643328183822</v>
      </c>
      <c r="R60" s="20">
        <v>36.838340722918502</v>
      </c>
      <c r="S60">
        <f t="shared" si="0"/>
        <v>-2.9624296962879604E-2</v>
      </c>
      <c r="T60" t="str">
        <f t="shared" si="1"/>
        <v/>
      </c>
      <c r="U60">
        <f t="shared" si="2"/>
        <v>0.16200000000000003</v>
      </c>
      <c r="V60" s="22"/>
      <c r="X60" s="21"/>
      <c r="Y60" s="41">
        <f t="shared" si="3"/>
        <v>250.72</v>
      </c>
      <c r="Z60" s="23">
        <f t="shared" si="5"/>
        <v>0.72209998012457943</v>
      </c>
      <c r="AA60" s="24">
        <f t="shared" si="4"/>
        <v>255.21</v>
      </c>
      <c r="AB60" s="46"/>
      <c r="AC60" s="40"/>
    </row>
    <row r="61" spans="1:29" ht="18" x14ac:dyDescent="0.25">
      <c r="A61" s="18">
        <v>5</v>
      </c>
      <c r="B61" s="17" t="s">
        <v>87</v>
      </c>
      <c r="C61" s="17" t="s">
        <v>148</v>
      </c>
      <c r="D61" s="17">
        <v>-1.7000000000000001E-2</v>
      </c>
      <c r="E61" s="17">
        <v>1.17</v>
      </c>
      <c r="F61" s="17">
        <v>-0.11</v>
      </c>
      <c r="G61" s="17">
        <v>3270</v>
      </c>
      <c r="H61" s="19">
        <v>0.73180428134556497</v>
      </c>
      <c r="I61" s="19">
        <v>0.10818500628597801</v>
      </c>
      <c r="J61" s="17">
        <v>2393</v>
      </c>
      <c r="K61" s="17">
        <v>877</v>
      </c>
      <c r="L61" s="19">
        <v>0.17265512265512201</v>
      </c>
      <c r="M61" s="19">
        <v>5.3586704142734899E-2</v>
      </c>
      <c r="N61" s="19">
        <v>4.5291523143864601E-2</v>
      </c>
      <c r="O61" s="20">
        <v>0.219929949311366</v>
      </c>
      <c r="P61" s="20">
        <v>0.13930946787686699</v>
      </c>
      <c r="Q61" s="20">
        <v>0.549643328183822</v>
      </c>
      <c r="R61" s="20">
        <v>36.838340722918502</v>
      </c>
      <c r="S61">
        <f t="shared" si="0"/>
        <v>-1.1900350691457581E-2</v>
      </c>
      <c r="T61" t="str">
        <f t="shared" si="1"/>
        <v/>
      </c>
      <c r="U61">
        <f t="shared" si="2"/>
        <v>0</v>
      </c>
      <c r="V61" s="22"/>
      <c r="X61" s="21"/>
      <c r="Y61" s="41"/>
      <c r="Z61" s="23">
        <f t="shared" si="5"/>
        <v>0.88761396255038139</v>
      </c>
      <c r="AA61" s="24">
        <f t="shared" si="4"/>
        <v>256.51</v>
      </c>
      <c r="AB61" s="46"/>
      <c r="AC61" s="40"/>
    </row>
    <row r="62" spans="1:29" ht="108" x14ac:dyDescent="0.25">
      <c r="A62" s="26">
        <v>6</v>
      </c>
      <c r="B62" s="27" t="s">
        <v>87</v>
      </c>
      <c r="C62" s="27" t="s">
        <v>70</v>
      </c>
      <c r="D62" s="27">
        <v>-1.7000000000000001E-2</v>
      </c>
      <c r="E62" s="27">
        <v>-0.628</v>
      </c>
      <c r="F62" s="27">
        <v>-1.4359999999999999</v>
      </c>
      <c r="G62" s="27">
        <v>17900</v>
      </c>
      <c r="H62" s="28">
        <v>0.311340782122905</v>
      </c>
      <c r="I62" s="28">
        <v>0.59220538609144402</v>
      </c>
      <c r="J62" s="27">
        <v>5572.99999999999</v>
      </c>
      <c r="K62" s="27">
        <v>12327</v>
      </c>
      <c r="L62" s="28">
        <v>0.402092352092352</v>
      </c>
      <c r="M62" s="28">
        <v>0.75320786997433697</v>
      </c>
      <c r="N62" s="28">
        <v>0.42046349922266002</v>
      </c>
      <c r="O62" s="29">
        <v>-1.7976545655181699</v>
      </c>
      <c r="P62" s="29">
        <v>0.22038097341559201</v>
      </c>
      <c r="Q62" s="29">
        <v>0.549643328183822</v>
      </c>
      <c r="R62" s="29">
        <v>36.838340722918502</v>
      </c>
      <c r="S62" s="30">
        <f t="shared" si="0"/>
        <v>-0.85040693442731363</v>
      </c>
      <c r="T62" s="30">
        <f t="shared" si="1"/>
        <v>0.46714863434229376</v>
      </c>
      <c r="U62" s="30">
        <f t="shared" si="2"/>
        <v>1.3259999999999998</v>
      </c>
      <c r="V62" s="30" t="s">
        <v>156</v>
      </c>
      <c r="W62" s="27" t="s">
        <v>149</v>
      </c>
      <c r="X62" s="31">
        <v>255</v>
      </c>
      <c r="Y62" s="42"/>
      <c r="Z62" s="26" t="str">
        <f t="shared" si="5"/>
        <v/>
      </c>
      <c r="AA62" s="27" t="str">
        <f t="shared" si="4"/>
        <v/>
      </c>
      <c r="AB62" s="48" t="s">
        <v>170</v>
      </c>
      <c r="AC62" s="40"/>
    </row>
    <row r="63" spans="1:29" x14ac:dyDescent="0.25">
      <c r="L63" s="43"/>
      <c r="M63" s="43"/>
      <c r="N63" s="43"/>
    </row>
  </sheetData>
  <autoFilter ref="A1:T62" xr:uid="{20A46365-4979-4B51-B446-2BE421CE9263}"/>
  <phoneticPr fontId="5" type="noConversion"/>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 بات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Fatemeh Mohammadi</cp:lastModifiedBy>
  <dcterms:created xsi:type="dcterms:W3CDTF">2025-10-04T07:46:19Z</dcterms:created>
  <dcterms:modified xsi:type="dcterms:W3CDTF">2025-10-12T11:01:17Z</dcterms:modified>
</cp:coreProperties>
</file>